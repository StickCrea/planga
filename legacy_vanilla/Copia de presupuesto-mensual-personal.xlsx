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langastodayke\"/>
    </mc:Choice>
  </mc:AlternateContent>
  <xr:revisionPtr revIDLastSave="0" documentId="8_{E82DEEF8-5323-4AA1-B2ED-DE7FC9BDBA0A}" xr6:coauthVersionLast="47" xr6:coauthVersionMax="47" xr10:uidLastSave="{00000000-0000-0000-0000-000000000000}"/>
  <bookViews>
    <workbookView xWindow="2295" yWindow="2295" windowWidth="21600" windowHeight="11835" tabRatio="809" activeTab="1" xr2:uid="{17BA5EA1-D43B-4ABC-BE9A-C1F3056B5395}"/>
  </bookViews>
  <sheets>
    <sheet name="Anual" sheetId="3" r:id="rId1"/>
    <sheet name="Enero" sheetId="1" r:id="rId2"/>
    <sheet name="Febrero" sheetId="6" r:id="rId3"/>
    <sheet name="Marzo" sheetId="7" r:id="rId4"/>
    <sheet name="Abril" sheetId="8" r:id="rId5"/>
    <sheet name="Mayo" sheetId="9" r:id="rId6"/>
    <sheet name="Junio" sheetId="10" r:id="rId7"/>
    <sheet name="Julio" sheetId="11" r:id="rId8"/>
    <sheet name="Agosto" sheetId="12" r:id="rId9"/>
    <sheet name="Setiembre" sheetId="13" r:id="rId10"/>
    <sheet name="Octubre" sheetId="14" r:id="rId11"/>
    <sheet name="Noviembre" sheetId="15" r:id="rId12"/>
    <sheet name="Diciembre" sheetId="16" r:id="rId13"/>
  </sheets>
  <definedNames>
    <definedName name="_xlnm.Print_Area" localSheetId="4">Abril!$B$1:$U$43</definedName>
    <definedName name="_xlnm.Print_Area" localSheetId="8">Agosto!$B$1:$U$43</definedName>
    <definedName name="_xlnm.Print_Area" localSheetId="12">Diciembre!$B$1:$U$43</definedName>
    <definedName name="_xlnm.Print_Area" localSheetId="1">Enero!$B$1:$U$43</definedName>
    <definedName name="_xlnm.Print_Area" localSheetId="2">Febrero!$B$1:$U$43</definedName>
    <definedName name="_xlnm.Print_Area" localSheetId="7">Julio!$B$1:$U$43</definedName>
    <definedName name="_xlnm.Print_Area" localSheetId="6">Junio!$B$1:$U$43</definedName>
    <definedName name="_xlnm.Print_Area" localSheetId="3">Marzo!$B$1:$U$43</definedName>
    <definedName name="_xlnm.Print_Area" localSheetId="5">Mayo!$B$1:$U$43</definedName>
    <definedName name="_xlnm.Print_Area" localSheetId="11">Noviembre!$B$1:$U$43</definedName>
    <definedName name="_xlnm.Print_Area" localSheetId="10">Octubre!$B$1:$U$43</definedName>
    <definedName name="_xlnm.Print_Area" localSheetId="9">Setiembre!$B$1:$U$43</definedName>
    <definedName name="Lista_Gastos" localSheetId="4">OFFSET(Abril!$J$14,0,0,COUNTA(Abril!$J$14:$J$41))</definedName>
    <definedName name="Lista_Gastos" localSheetId="8">OFFSET(Agosto!$J$14,0,0,COUNTA(Agosto!$J$14:$J$41))</definedName>
    <definedName name="Lista_Gastos" localSheetId="12">OFFSET(Diciembre!$J$14,0,0,COUNTA(Diciembre!$J$14:$J$41))</definedName>
    <definedName name="Lista_Gastos" localSheetId="2">OFFSET(Febrero!$J$14,0,0,COUNTA(Febrero!$J$14:$J$41))</definedName>
    <definedName name="Lista_Gastos" localSheetId="7">OFFSET(Julio!$J$14,0,0,COUNTA(Julio!$J$14:$J$41))</definedName>
    <definedName name="Lista_Gastos" localSheetId="6">OFFSET(Junio!$J$14,0,0,COUNTA(Junio!$J$14:$J$41))</definedName>
    <definedName name="Lista_Gastos" localSheetId="3">OFFSET(Marzo!$J$14,0,0,COUNTA(Marzo!$J$14:$J$41))</definedName>
    <definedName name="Lista_Gastos" localSheetId="5">OFFSET(Mayo!$J$14,0,0,COUNTA(Mayo!$J$14:$J$41))</definedName>
    <definedName name="Lista_Gastos" localSheetId="11">OFFSET(Noviembre!$J$14,0,0,COUNTA(Noviembre!$J$14:$J$41))</definedName>
    <definedName name="Lista_Gastos" localSheetId="10">OFFSET(Octubre!$J$14,0,0,COUNTA(Octubre!$J$14:$J$41))</definedName>
    <definedName name="Lista_Gastos" localSheetId="9">OFFSET(Setiembre!$J$14,0,0,COUNTA(Setiembre!$J$14:$J$41))</definedName>
    <definedName name="Lista_Gastos">OFFSET(Enero!$J$14,0,0,COUNTA(Enero!$J$14:$J$41))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P42" i="16"/>
  <c r="O42" i="16"/>
  <c r="P43" i="16" s="1"/>
  <c r="K42" i="16"/>
  <c r="H42" i="16"/>
  <c r="G42" i="16"/>
  <c r="H43" i="16" s="1"/>
  <c r="D42" i="16"/>
  <c r="C42" i="16"/>
  <c r="D43" i="16" s="1"/>
  <c r="P26" i="16"/>
  <c r="H8" i="16" s="1"/>
  <c r="O26" i="16"/>
  <c r="D26" i="16"/>
  <c r="D27" i="16" s="1"/>
  <c r="C26" i="16"/>
  <c r="C7" i="16" s="1"/>
  <c r="H9" i="16"/>
  <c r="G9" i="16"/>
  <c r="C9" i="16"/>
  <c r="D8" i="16"/>
  <c r="C8" i="16"/>
  <c r="H7" i="16"/>
  <c r="G7" i="16"/>
  <c r="H5" i="16"/>
  <c r="G5" i="16"/>
  <c r="B2" i="16"/>
  <c r="C1" i="16" s="1"/>
  <c r="P42" i="15"/>
  <c r="O42" i="15"/>
  <c r="P43" i="15" s="1"/>
  <c r="K42" i="15"/>
  <c r="H42" i="15"/>
  <c r="G42" i="15"/>
  <c r="H43" i="15" s="1"/>
  <c r="D42" i="15"/>
  <c r="C42" i="15"/>
  <c r="D43" i="15" s="1"/>
  <c r="P26" i="15"/>
  <c r="H8" i="15" s="1"/>
  <c r="O26" i="15"/>
  <c r="P27" i="15" s="1"/>
  <c r="D26" i="15"/>
  <c r="D27" i="15" s="1"/>
  <c r="C26" i="15"/>
  <c r="H9" i="15"/>
  <c r="G9" i="15"/>
  <c r="C9" i="15"/>
  <c r="D8" i="15"/>
  <c r="C8" i="15"/>
  <c r="H7" i="15"/>
  <c r="G7" i="15"/>
  <c r="D7" i="15"/>
  <c r="C7" i="15"/>
  <c r="C10" i="15" s="1"/>
  <c r="H5" i="15"/>
  <c r="G5" i="15"/>
  <c r="H4" i="15"/>
  <c r="G4" i="15"/>
  <c r="B2" i="15"/>
  <c r="C1" i="15" s="1"/>
  <c r="P42" i="14"/>
  <c r="O42" i="14"/>
  <c r="P43" i="14" s="1"/>
  <c r="K42" i="14"/>
  <c r="H42" i="14"/>
  <c r="G42" i="14"/>
  <c r="H43" i="14" s="1"/>
  <c r="D42" i="14"/>
  <c r="C42" i="14"/>
  <c r="D43" i="14" s="1"/>
  <c r="P26" i="14"/>
  <c r="O26" i="14"/>
  <c r="P27" i="14" s="1"/>
  <c r="D26" i="14"/>
  <c r="D27" i="14" s="1"/>
  <c r="C26" i="14"/>
  <c r="H9" i="14"/>
  <c r="G9" i="14"/>
  <c r="C9" i="14"/>
  <c r="C10" i="14" s="1"/>
  <c r="H8" i="14"/>
  <c r="D8" i="14"/>
  <c r="C8" i="14"/>
  <c r="H7" i="14"/>
  <c r="G7" i="14"/>
  <c r="D7" i="14"/>
  <c r="C7" i="14"/>
  <c r="H5" i="14"/>
  <c r="G5" i="14"/>
  <c r="H4" i="14"/>
  <c r="G4" i="14"/>
  <c r="B2" i="14"/>
  <c r="C1" i="14" s="1"/>
  <c r="P42" i="13"/>
  <c r="O42" i="13"/>
  <c r="P43" i="13" s="1"/>
  <c r="K42" i="13"/>
  <c r="H42" i="13"/>
  <c r="G42" i="13"/>
  <c r="H43" i="13" s="1"/>
  <c r="D42" i="13"/>
  <c r="C42" i="13"/>
  <c r="D43" i="13" s="1"/>
  <c r="P26" i="13"/>
  <c r="H8" i="13" s="1"/>
  <c r="O26" i="13"/>
  <c r="P27" i="13" s="1"/>
  <c r="D26" i="13"/>
  <c r="D27" i="13" s="1"/>
  <c r="C26" i="13"/>
  <c r="H9" i="13"/>
  <c r="G9" i="13"/>
  <c r="C9" i="13"/>
  <c r="D8" i="13"/>
  <c r="C8" i="13"/>
  <c r="C10" i="13" s="1"/>
  <c r="H7" i="13"/>
  <c r="G7" i="13"/>
  <c r="D7" i="13"/>
  <c r="C7" i="13"/>
  <c r="H5" i="13"/>
  <c r="G5" i="13"/>
  <c r="H4" i="13"/>
  <c r="G4" i="13"/>
  <c r="B2" i="13"/>
  <c r="C1" i="13" s="1"/>
  <c r="H43" i="12"/>
  <c r="P42" i="12"/>
  <c r="O42" i="12"/>
  <c r="P43" i="12" s="1"/>
  <c r="K42" i="12"/>
  <c r="H42" i="12"/>
  <c r="G42" i="12"/>
  <c r="D42" i="12"/>
  <c r="C42" i="12"/>
  <c r="D43" i="12" s="1"/>
  <c r="P26" i="12"/>
  <c r="H8" i="12" s="1"/>
  <c r="O26" i="12"/>
  <c r="P27" i="12" s="1"/>
  <c r="D26" i="12"/>
  <c r="D27" i="12" s="1"/>
  <c r="C26" i="12"/>
  <c r="H9" i="12"/>
  <c r="G9" i="12"/>
  <c r="C9" i="12"/>
  <c r="D8" i="12"/>
  <c r="C8" i="12"/>
  <c r="C10" i="12" s="1"/>
  <c r="H7" i="12"/>
  <c r="G7" i="12"/>
  <c r="D7" i="12"/>
  <c r="C7" i="12"/>
  <c r="H5" i="12"/>
  <c r="G5" i="12"/>
  <c r="H4" i="12"/>
  <c r="G4" i="12"/>
  <c r="B2" i="12"/>
  <c r="C1" i="12" s="1"/>
  <c r="P42" i="11"/>
  <c r="O42" i="11"/>
  <c r="P43" i="11" s="1"/>
  <c r="K42" i="11"/>
  <c r="H42" i="11"/>
  <c r="H5" i="11" s="1"/>
  <c r="G42" i="11"/>
  <c r="H43" i="11" s="1"/>
  <c r="D42" i="11"/>
  <c r="C42" i="11"/>
  <c r="D43" i="11" s="1"/>
  <c r="P26" i="11"/>
  <c r="O26" i="11"/>
  <c r="P27" i="11" s="1"/>
  <c r="D26" i="11"/>
  <c r="D27" i="11" s="1"/>
  <c r="C26" i="11"/>
  <c r="H9" i="11"/>
  <c r="G9" i="11"/>
  <c r="C9" i="11"/>
  <c r="C10" i="11" s="1"/>
  <c r="H8" i="11"/>
  <c r="D8" i="11"/>
  <c r="C8" i="11"/>
  <c r="H7" i="11"/>
  <c r="D7" i="11"/>
  <c r="C7" i="11"/>
  <c r="G5" i="11"/>
  <c r="H4" i="11"/>
  <c r="G4" i="11"/>
  <c r="B2" i="11"/>
  <c r="C1" i="11" s="1"/>
  <c r="H43" i="10"/>
  <c r="P42" i="10"/>
  <c r="O42" i="10"/>
  <c r="P43" i="10" s="1"/>
  <c r="K42" i="10"/>
  <c r="H42" i="10"/>
  <c r="G42" i="10"/>
  <c r="D42" i="10"/>
  <c r="C42" i="10"/>
  <c r="D43" i="10" s="1"/>
  <c r="P26" i="10"/>
  <c r="H8" i="10" s="1"/>
  <c r="O26" i="10"/>
  <c r="P27" i="10" s="1"/>
  <c r="D26" i="10"/>
  <c r="D27" i="10" s="1"/>
  <c r="C26" i="10"/>
  <c r="H9" i="10"/>
  <c r="G9" i="10"/>
  <c r="C9" i="10"/>
  <c r="C10" i="10" s="1"/>
  <c r="D8" i="10"/>
  <c r="C8" i="10"/>
  <c r="H7" i="10"/>
  <c r="G7" i="10"/>
  <c r="D7" i="10"/>
  <c r="C7" i="10"/>
  <c r="H5" i="10"/>
  <c r="G5" i="10"/>
  <c r="H4" i="10"/>
  <c r="G4" i="10"/>
  <c r="B2" i="10"/>
  <c r="C1" i="10" s="1"/>
  <c r="P42" i="9"/>
  <c r="O42" i="9"/>
  <c r="P43" i="9" s="1"/>
  <c r="K42" i="9"/>
  <c r="H42" i="9"/>
  <c r="G42" i="9"/>
  <c r="H43" i="9" s="1"/>
  <c r="D42" i="9"/>
  <c r="C42" i="9"/>
  <c r="D43" i="9" s="1"/>
  <c r="P26" i="9"/>
  <c r="H8" i="9" s="1"/>
  <c r="O26" i="9"/>
  <c r="P27" i="9" s="1"/>
  <c r="D26" i="9"/>
  <c r="D27" i="9" s="1"/>
  <c r="C26" i="9"/>
  <c r="H9" i="9"/>
  <c r="G9" i="9"/>
  <c r="C9" i="9"/>
  <c r="D8" i="9"/>
  <c r="C8" i="9"/>
  <c r="H7" i="9"/>
  <c r="G7" i="9"/>
  <c r="D7" i="9"/>
  <c r="C7" i="9"/>
  <c r="C10" i="9" s="1"/>
  <c r="H5" i="9"/>
  <c r="G5" i="9"/>
  <c r="H4" i="9"/>
  <c r="G4" i="9"/>
  <c r="B2" i="9"/>
  <c r="C1" i="9" s="1"/>
  <c r="H43" i="8"/>
  <c r="P42" i="8"/>
  <c r="O42" i="8"/>
  <c r="P43" i="8" s="1"/>
  <c r="K42" i="8"/>
  <c r="H42" i="8"/>
  <c r="G42" i="8"/>
  <c r="D42" i="8"/>
  <c r="C42" i="8"/>
  <c r="D43" i="8" s="1"/>
  <c r="P26" i="8"/>
  <c r="O26" i="8"/>
  <c r="P27" i="8" s="1"/>
  <c r="D26" i="8"/>
  <c r="D27" i="8" s="1"/>
  <c r="C26" i="8"/>
  <c r="H9" i="8"/>
  <c r="G9" i="8"/>
  <c r="C9" i="8"/>
  <c r="C10" i="8" s="1"/>
  <c r="H8" i="8"/>
  <c r="D8" i="8"/>
  <c r="C8" i="8"/>
  <c r="H7" i="8"/>
  <c r="G7" i="8"/>
  <c r="D7" i="8"/>
  <c r="C7" i="8"/>
  <c r="H5" i="8"/>
  <c r="G5" i="8"/>
  <c r="H4" i="8"/>
  <c r="G4" i="8"/>
  <c r="B2" i="8"/>
  <c r="C1" i="8" s="1"/>
  <c r="H43" i="7"/>
  <c r="P42" i="7"/>
  <c r="O42" i="7"/>
  <c r="P43" i="7" s="1"/>
  <c r="K42" i="7"/>
  <c r="H42" i="7"/>
  <c r="G42" i="7"/>
  <c r="D42" i="7"/>
  <c r="C42" i="7"/>
  <c r="G7" i="7" s="1"/>
  <c r="D27" i="7"/>
  <c r="P26" i="7"/>
  <c r="H8" i="7" s="1"/>
  <c r="O26" i="7"/>
  <c r="P27" i="7" s="1"/>
  <c r="D26" i="7"/>
  <c r="C26" i="7"/>
  <c r="C10" i="7"/>
  <c r="H9" i="7"/>
  <c r="G9" i="7"/>
  <c r="C9" i="7"/>
  <c r="D8" i="7"/>
  <c r="C8" i="7"/>
  <c r="H7" i="7"/>
  <c r="D7" i="7"/>
  <c r="C7" i="7"/>
  <c r="G6" i="7"/>
  <c r="H5" i="7"/>
  <c r="G5" i="7"/>
  <c r="H4" i="7"/>
  <c r="G4" i="7"/>
  <c r="B2" i="7"/>
  <c r="C1" i="7" s="1"/>
  <c r="P42" i="6"/>
  <c r="H9" i="6" s="1"/>
  <c r="O42" i="6"/>
  <c r="K42" i="6"/>
  <c r="C9" i="6" s="1"/>
  <c r="H42" i="6"/>
  <c r="H5" i="6" s="1"/>
  <c r="G42" i="6"/>
  <c r="D42" i="6"/>
  <c r="H7" i="6" s="1"/>
  <c r="C42" i="6"/>
  <c r="P26" i="6"/>
  <c r="H8" i="6" s="1"/>
  <c r="O26" i="6"/>
  <c r="G8" i="6" s="1"/>
  <c r="D26" i="6"/>
  <c r="D7" i="6" s="1"/>
  <c r="C26" i="6"/>
  <c r="G9" i="6"/>
  <c r="B2" i="6"/>
  <c r="C1" i="6" s="1"/>
  <c r="B2" i="1"/>
  <c r="C1" i="1" s="1"/>
  <c r="D1" i="1" s="1"/>
  <c r="C37" i="3" a="1"/>
  <c r="X35" i="3" a="1"/>
  <c r="D27" i="3" a="1"/>
  <c r="K28" i="3" a="1"/>
  <c r="X32" i="3" a="1"/>
  <c r="S29" i="3" a="1"/>
  <c r="X29" i="3" a="1"/>
  <c r="C27" i="3" a="1"/>
  <c r="T34" i="3" a="1"/>
  <c r="T30" i="3" a="1"/>
  <c r="G36" i="3" a="1"/>
  <c r="G33" i="3" a="1"/>
  <c r="C36" i="3" a="1"/>
  <c r="H37" i="3" a="1"/>
  <c r="W32" i="3" a="1"/>
  <c r="D30" i="3" a="1"/>
  <c r="C30" i="3" a="1"/>
  <c r="T29" i="3" a="1"/>
  <c r="X37" i="3" a="1"/>
  <c r="D35" i="3" a="1"/>
  <c r="S28" i="3" a="1"/>
  <c r="H29" i="3" a="1"/>
  <c r="W34" i="3" a="1"/>
  <c r="S31" i="3" a="1"/>
  <c r="P29" i="3" a="1"/>
  <c r="O36" i="3" a="1"/>
  <c r="X36" i="3" a="1"/>
  <c r="W28" i="3" a="1"/>
  <c r="X31" i="3" a="1"/>
  <c r="S32" i="3" a="1"/>
  <c r="W27" i="3" a="1"/>
  <c r="T28" i="3" a="1"/>
  <c r="D32" i="3" a="1"/>
  <c r="K37" i="3" a="1"/>
  <c r="O33" i="3" a="1"/>
  <c r="P27" i="3" a="1"/>
  <c r="H34" i="3" a="1"/>
  <c r="K31" i="3" a="1"/>
  <c r="P36" i="3" a="1"/>
  <c r="K33" i="3" a="1"/>
  <c r="P31" i="3" a="1"/>
  <c r="H36" i="3" a="1"/>
  <c r="P37" i="3" a="1"/>
  <c r="H32" i="3" a="1"/>
  <c r="H30" i="3" a="1"/>
  <c r="X34" i="3" a="1"/>
  <c r="C34" i="3" a="1"/>
  <c r="D37" i="3" a="1"/>
  <c r="G28" i="3" a="1"/>
  <c r="H27" i="3" a="1"/>
  <c r="S37" i="3" a="1"/>
  <c r="W30" i="3" a="1"/>
  <c r="P35" i="3" a="1"/>
  <c r="O29" i="3" a="1"/>
  <c r="D28" i="3" a="1"/>
  <c r="S35" i="3" a="1"/>
  <c r="X33" i="3" a="1"/>
  <c r="H35" i="3" a="1"/>
  <c r="W29" i="3" a="1"/>
  <c r="X28" i="3" a="1"/>
  <c r="C32" i="3" a="1"/>
  <c r="T36" i="3" a="1"/>
  <c r="O35" i="3" a="1"/>
  <c r="O27" i="3" a="1"/>
  <c r="T27" i="3" a="1"/>
  <c r="O32" i="3" a="1"/>
  <c r="O34" i="3" a="1"/>
  <c r="P32" i="3" a="1"/>
  <c r="T32" i="3" a="1"/>
  <c r="S30" i="3" a="1"/>
  <c r="K29" i="3" a="1"/>
  <c r="K35" i="3" a="1"/>
  <c r="H31" i="3" a="1"/>
  <c r="P33" i="3" a="1"/>
  <c r="P34" i="3" a="1"/>
  <c r="K30" i="3" a="1"/>
  <c r="P30" i="3" a="1"/>
  <c r="G27" i="3" a="1"/>
  <c r="S27" i="3" a="1"/>
  <c r="C35" i="3" a="1"/>
  <c r="G29" i="3" a="1"/>
  <c r="G34" i="3" a="1"/>
  <c r="T35" i="3" a="1"/>
  <c r="S36" i="3" a="1"/>
  <c r="T33" i="3" a="1"/>
  <c r="D36" i="3" a="1"/>
  <c r="K27" i="3" a="1"/>
  <c r="C29" i="3" a="1"/>
  <c r="O28" i="3" a="1"/>
  <c r="O30" i="3" a="1"/>
  <c r="W37" i="3" a="1"/>
  <c r="S34" i="3" a="1"/>
  <c r="D31" i="3" a="1"/>
  <c r="W35" i="3" a="1"/>
  <c r="W36" i="3" a="1"/>
  <c r="D33" i="3" a="1"/>
  <c r="G35" i="3" a="1"/>
  <c r="X30" i="3" a="1"/>
  <c r="H28" i="3" a="1"/>
  <c r="C28" i="3" a="1"/>
  <c r="C33" i="3" a="1"/>
  <c r="G37" i="3" a="1"/>
  <c r="W31" i="3" a="1"/>
  <c r="D29" i="3" a="1"/>
  <c r="C31" i="3" a="1"/>
  <c r="T31" i="3" a="1"/>
  <c r="K36" i="3" a="1"/>
  <c r="T37" i="3" a="1"/>
  <c r="K34" i="3" a="1"/>
  <c r="S33" i="3" a="1"/>
  <c r="K32" i="3" a="1"/>
  <c r="O37" i="3" a="1"/>
  <c r="W33" i="3" a="1"/>
  <c r="H33" i="3" a="1"/>
  <c r="X27" i="3" a="1"/>
  <c r="D34" i="3" a="1"/>
  <c r="G31" i="3" a="1"/>
  <c r="G32" i="3" a="1"/>
  <c r="O31" i="3" a="1"/>
  <c r="P28" i="3" a="1"/>
  <c r="G30" i="3" a="1"/>
  <c r="P27" i="16" l="1"/>
  <c r="H43" i="6"/>
  <c r="H4" i="6"/>
  <c r="J2" i="6" s="1"/>
  <c r="D27" i="6"/>
  <c r="D43" i="6"/>
  <c r="P43" i="6"/>
  <c r="C8" i="6"/>
  <c r="W28" i="3"/>
  <c r="W30" i="3"/>
  <c r="W32" i="3"/>
  <c r="W34" i="3"/>
  <c r="W36" i="3"/>
  <c r="X28" i="3"/>
  <c r="L12" i="3" s="1"/>
  <c r="X32" i="3"/>
  <c r="R12" i="3" s="1"/>
  <c r="X36" i="3"/>
  <c r="W12" i="3" s="1"/>
  <c r="X30" i="3"/>
  <c r="O12" i="3" s="1"/>
  <c r="X34" i="3"/>
  <c r="T12" i="3" s="1"/>
  <c r="W27" i="3"/>
  <c r="W29" i="3"/>
  <c r="W31" i="3"/>
  <c r="W33" i="3"/>
  <c r="W35" i="3"/>
  <c r="W37" i="3"/>
  <c r="X27" i="3"/>
  <c r="K12" i="3" s="1"/>
  <c r="X29" i="3"/>
  <c r="N12" i="3" s="1"/>
  <c r="X31" i="3"/>
  <c r="P12" i="3" s="1"/>
  <c r="X33" i="3"/>
  <c r="S12" i="3" s="1"/>
  <c r="X35" i="3"/>
  <c r="V12" i="3" s="1"/>
  <c r="X37" i="3"/>
  <c r="X12" i="3" s="1"/>
  <c r="T27" i="3"/>
  <c r="K11" i="3" s="1"/>
  <c r="T29" i="3"/>
  <c r="N11" i="3" s="1"/>
  <c r="T31" i="3"/>
  <c r="P11" i="3" s="1"/>
  <c r="T33" i="3"/>
  <c r="S11" i="3" s="1"/>
  <c r="T37" i="3"/>
  <c r="X11" i="3" s="1"/>
  <c r="S28" i="3"/>
  <c r="S30" i="3"/>
  <c r="S32" i="3"/>
  <c r="S34" i="3"/>
  <c r="S36" i="3"/>
  <c r="T28" i="3"/>
  <c r="L11" i="3" s="1"/>
  <c r="T30" i="3"/>
  <c r="O11" i="3" s="1"/>
  <c r="T32" i="3"/>
  <c r="R11" i="3" s="1"/>
  <c r="T34" i="3"/>
  <c r="T11" i="3" s="1"/>
  <c r="T36" i="3"/>
  <c r="W11" i="3" s="1"/>
  <c r="S27" i="3"/>
  <c r="S29" i="3"/>
  <c r="S31" i="3"/>
  <c r="S33" i="3"/>
  <c r="S35" i="3"/>
  <c r="S37" i="3"/>
  <c r="T35" i="3"/>
  <c r="V11" i="3" s="1"/>
  <c r="P27" i="3"/>
  <c r="K10" i="3" s="1"/>
  <c r="P29" i="3"/>
  <c r="N10" i="3" s="1"/>
  <c r="P31" i="3"/>
  <c r="P10" i="3" s="1"/>
  <c r="P33" i="3"/>
  <c r="S10" i="3" s="1"/>
  <c r="P35" i="3"/>
  <c r="V10" i="3" s="1"/>
  <c r="P37" i="3"/>
  <c r="X10" i="3" s="1"/>
  <c r="O28" i="3"/>
  <c r="O30" i="3"/>
  <c r="O32" i="3"/>
  <c r="O34" i="3"/>
  <c r="O36" i="3"/>
  <c r="P28" i="3"/>
  <c r="L10" i="3" s="1"/>
  <c r="P30" i="3"/>
  <c r="O10" i="3" s="1"/>
  <c r="P32" i="3"/>
  <c r="R10" i="3" s="1"/>
  <c r="P34" i="3"/>
  <c r="T10" i="3" s="1"/>
  <c r="P36" i="3"/>
  <c r="W10" i="3" s="1"/>
  <c r="O27" i="3"/>
  <c r="O29" i="3"/>
  <c r="O31" i="3"/>
  <c r="O33" i="3"/>
  <c r="O35" i="3"/>
  <c r="O37" i="3"/>
  <c r="K28" i="3"/>
  <c r="K30" i="3"/>
  <c r="K32" i="3"/>
  <c r="K34" i="3"/>
  <c r="K36" i="3"/>
  <c r="K27" i="3"/>
  <c r="K29" i="3"/>
  <c r="K31" i="3"/>
  <c r="K33" i="3"/>
  <c r="K35" i="3"/>
  <c r="K37" i="3"/>
  <c r="G28" i="3"/>
  <c r="G30" i="3"/>
  <c r="G32" i="3"/>
  <c r="G34" i="3"/>
  <c r="G36" i="3"/>
  <c r="H28" i="3"/>
  <c r="L8" i="3" s="1"/>
  <c r="H30" i="3"/>
  <c r="O8" i="3" s="1"/>
  <c r="H32" i="3"/>
  <c r="R8" i="3" s="1"/>
  <c r="H34" i="3"/>
  <c r="T8" i="3" s="1"/>
  <c r="H36" i="3"/>
  <c r="W8" i="3" s="1"/>
  <c r="G27" i="3"/>
  <c r="G29" i="3"/>
  <c r="G31" i="3"/>
  <c r="G33" i="3"/>
  <c r="G35" i="3"/>
  <c r="G37" i="3"/>
  <c r="H27" i="3"/>
  <c r="K8" i="3" s="1"/>
  <c r="H29" i="3"/>
  <c r="N8" i="3" s="1"/>
  <c r="H31" i="3"/>
  <c r="P8" i="3" s="1"/>
  <c r="H33" i="3"/>
  <c r="S8" i="3" s="1"/>
  <c r="H35" i="3"/>
  <c r="V8" i="3" s="1"/>
  <c r="H37" i="3"/>
  <c r="X8" i="3" s="1"/>
  <c r="D27" i="3"/>
  <c r="C28" i="3"/>
  <c r="C30" i="3"/>
  <c r="C32" i="3"/>
  <c r="C34" i="3"/>
  <c r="C36" i="3"/>
  <c r="D31" i="3"/>
  <c r="D35" i="3"/>
  <c r="D33" i="3"/>
  <c r="S18" i="3" s="1"/>
  <c r="D28" i="3"/>
  <c r="D32" i="3"/>
  <c r="D34" i="3"/>
  <c r="C27" i="3"/>
  <c r="C29" i="3"/>
  <c r="C31" i="3"/>
  <c r="C33" i="3"/>
  <c r="C35" i="3"/>
  <c r="C37" i="3"/>
  <c r="D30" i="3"/>
  <c r="O18" i="3" s="1"/>
  <c r="D36" i="3"/>
  <c r="D29" i="3"/>
  <c r="D37" i="3"/>
  <c r="D7" i="16"/>
  <c r="G4" i="6"/>
  <c r="H4" i="16"/>
  <c r="J2" i="16" s="1"/>
  <c r="C10" i="16"/>
  <c r="G4" i="16"/>
  <c r="C7" i="6"/>
  <c r="C10" i="6" s="1"/>
  <c r="L27" i="1"/>
  <c r="D1" i="16"/>
  <c r="L34" i="16" s="1"/>
  <c r="G6" i="16"/>
  <c r="G8" i="16"/>
  <c r="D1" i="15"/>
  <c r="L25" i="15" s="1"/>
  <c r="G6" i="15"/>
  <c r="G8" i="15"/>
  <c r="G10" i="15" s="1"/>
  <c r="J2" i="15"/>
  <c r="D1" i="14"/>
  <c r="L17" i="14" s="1"/>
  <c r="G10" i="14"/>
  <c r="G8" i="14"/>
  <c r="G6" i="14"/>
  <c r="J2" i="14"/>
  <c r="D1" i="13"/>
  <c r="L21" i="13" s="1"/>
  <c r="G6" i="13"/>
  <c r="G10" i="13" s="1"/>
  <c r="G8" i="13"/>
  <c r="J2" i="13"/>
  <c r="D1" i="12"/>
  <c r="L17" i="12" s="1"/>
  <c r="G10" i="12"/>
  <c r="G6" i="12"/>
  <c r="G8" i="12"/>
  <c r="J2" i="12"/>
  <c r="D1" i="11"/>
  <c r="L38" i="11" s="1"/>
  <c r="G10" i="11"/>
  <c r="G7" i="11"/>
  <c r="G6" i="11"/>
  <c r="G8" i="11"/>
  <c r="J2" i="11"/>
  <c r="D1" i="10"/>
  <c r="L36" i="10" s="1"/>
  <c r="G6" i="10"/>
  <c r="G10" i="10" s="1"/>
  <c r="G8" i="10"/>
  <c r="J2" i="10"/>
  <c r="D1" i="9"/>
  <c r="L36" i="9" s="1"/>
  <c r="G6" i="9"/>
  <c r="G10" i="9" s="1"/>
  <c r="G8" i="9"/>
  <c r="J2" i="9"/>
  <c r="D1" i="8"/>
  <c r="L36" i="8" s="1"/>
  <c r="G8" i="8"/>
  <c r="G6" i="8"/>
  <c r="G10" i="8" s="1"/>
  <c r="J2" i="8"/>
  <c r="D1" i="7"/>
  <c r="L37" i="7" s="1"/>
  <c r="D43" i="7"/>
  <c r="G8" i="7"/>
  <c r="G10" i="7" s="1"/>
  <c r="J2" i="7"/>
  <c r="G7" i="6"/>
  <c r="G5" i="6"/>
  <c r="D1" i="6"/>
  <c r="L36" i="6" s="1"/>
  <c r="G6" i="6"/>
  <c r="D8" i="6"/>
  <c r="P27" i="6"/>
  <c r="L17" i="1"/>
  <c r="L34" i="1"/>
  <c r="L18" i="1"/>
  <c r="L19" i="1"/>
  <c r="L28" i="1"/>
  <c r="L20" i="1"/>
  <c r="L29" i="1"/>
  <c r="L37" i="1"/>
  <c r="L21" i="1"/>
  <c r="L30" i="1"/>
  <c r="L38" i="1"/>
  <c r="L14" i="1"/>
  <c r="L22" i="1"/>
  <c r="L31" i="1"/>
  <c r="L39" i="1"/>
  <c r="L25" i="1"/>
  <c r="L26" i="1"/>
  <c r="L35" i="1"/>
  <c r="L36" i="1"/>
  <c r="L15" i="1"/>
  <c r="L23" i="1"/>
  <c r="L32" i="1"/>
  <c r="L40" i="1"/>
  <c r="L16" i="1"/>
  <c r="L24" i="1"/>
  <c r="L33" i="1"/>
  <c r="L41" i="1"/>
  <c r="D42" i="1"/>
  <c r="C42" i="1"/>
  <c r="D26" i="1"/>
  <c r="C26" i="1"/>
  <c r="P42" i="1"/>
  <c r="O42" i="1"/>
  <c r="P26" i="1"/>
  <c r="O26" i="1"/>
  <c r="K42" i="1"/>
  <c r="H42" i="1"/>
  <c r="G42" i="1"/>
  <c r="H26" i="3" a="1"/>
  <c r="W26" i="3" a="1"/>
  <c r="C26" i="3" a="1"/>
  <c r="P26" i="3" a="1"/>
  <c r="D26" i="3" a="1"/>
  <c r="S26" i="3" a="1"/>
  <c r="K26" i="3" a="1"/>
  <c r="G26" i="3" a="1"/>
  <c r="O26" i="3" a="1"/>
  <c r="X26" i="3" a="1"/>
  <c r="T26" i="3" a="1"/>
  <c r="T26" i="3" l="1"/>
  <c r="J11" i="3" s="1"/>
  <c r="H8" i="1"/>
  <c r="X26" i="3"/>
  <c r="J12" i="3" s="1"/>
  <c r="H9" i="1"/>
  <c r="W26" i="3"/>
  <c r="W38" i="3" s="1"/>
  <c r="G12" i="3" s="1"/>
  <c r="S26" i="3"/>
  <c r="S38" i="3" s="1"/>
  <c r="G11" i="3" s="1"/>
  <c r="K26" i="3"/>
  <c r="K38" i="3" s="1"/>
  <c r="H26" i="3"/>
  <c r="J8" i="3" s="1"/>
  <c r="G26" i="3"/>
  <c r="G38" i="3" s="1"/>
  <c r="H43" i="1"/>
  <c r="P26" i="3"/>
  <c r="J10" i="3" s="1"/>
  <c r="H7" i="1"/>
  <c r="O26" i="3"/>
  <c r="O38" i="3" s="1"/>
  <c r="G10" i="3" s="1"/>
  <c r="C26" i="3"/>
  <c r="C38" i="3" s="1"/>
  <c r="G18" i="3" s="1"/>
  <c r="D26" i="3"/>
  <c r="D38" i="3" s="1"/>
  <c r="P7" i="3"/>
  <c r="P18" i="3"/>
  <c r="O19" i="3"/>
  <c r="T19" i="3"/>
  <c r="V7" i="3"/>
  <c r="V18" i="3"/>
  <c r="X7" i="3"/>
  <c r="X18" i="3"/>
  <c r="X19" i="3"/>
  <c r="L19" i="3"/>
  <c r="K7" i="3"/>
  <c r="K18" i="3"/>
  <c r="K19" i="3"/>
  <c r="R19" i="3"/>
  <c r="N7" i="3"/>
  <c r="N18" i="3"/>
  <c r="V19" i="3"/>
  <c r="W7" i="3"/>
  <c r="W18" i="3"/>
  <c r="T7" i="3"/>
  <c r="T18" i="3"/>
  <c r="S19" i="3"/>
  <c r="R7" i="3"/>
  <c r="R18" i="3"/>
  <c r="P19" i="3"/>
  <c r="L7" i="3"/>
  <c r="L18" i="3"/>
  <c r="N19" i="3"/>
  <c r="W19" i="3"/>
  <c r="S7" i="3"/>
  <c r="O7" i="3"/>
  <c r="G10" i="6"/>
  <c r="G10" i="16"/>
  <c r="J6" i="16" s="1"/>
  <c r="L22" i="15"/>
  <c r="L33" i="15"/>
  <c r="L41" i="16"/>
  <c r="L14" i="15"/>
  <c r="L33" i="16"/>
  <c r="L35" i="16"/>
  <c r="L37" i="16"/>
  <c r="L14" i="16"/>
  <c r="L16" i="16"/>
  <c r="L36" i="16"/>
  <c r="L28" i="16"/>
  <c r="L32" i="16"/>
  <c r="L21" i="16"/>
  <c r="L39" i="16"/>
  <c r="L31" i="16"/>
  <c r="L26" i="16"/>
  <c r="L20" i="16"/>
  <c r="L30" i="16"/>
  <c r="L40" i="16"/>
  <c r="L38" i="16"/>
  <c r="L19" i="16"/>
  <c r="L22" i="16"/>
  <c r="L29" i="16"/>
  <c r="L25" i="16"/>
  <c r="L23" i="16"/>
  <c r="L24" i="16"/>
  <c r="L18" i="16"/>
  <c r="L17" i="16"/>
  <c r="L15" i="16"/>
  <c r="L40" i="14"/>
  <c r="L38" i="14"/>
  <c r="L35" i="14"/>
  <c r="L20" i="14"/>
  <c r="L15" i="15"/>
  <c r="L23" i="15"/>
  <c r="L28" i="15"/>
  <c r="L21" i="14"/>
  <c r="L36" i="15"/>
  <c r="J6" i="15"/>
  <c r="L18" i="13"/>
  <c r="L39" i="14"/>
  <c r="L38" i="15"/>
  <c r="L41" i="15"/>
  <c r="L34" i="15"/>
  <c r="L30" i="15"/>
  <c r="L26" i="15"/>
  <c r="L19" i="15"/>
  <c r="L16" i="15"/>
  <c r="L18" i="15"/>
  <c r="L32" i="14"/>
  <c r="L39" i="15"/>
  <c r="L20" i="15"/>
  <c r="L24" i="15"/>
  <c r="L29" i="15"/>
  <c r="L21" i="15"/>
  <c r="L31" i="15"/>
  <c r="L35" i="15"/>
  <c r="L37" i="15"/>
  <c r="L23" i="14"/>
  <c r="L32" i="15"/>
  <c r="L40" i="15"/>
  <c r="L17" i="15"/>
  <c r="L15" i="14"/>
  <c r="L25" i="14"/>
  <c r="L16" i="14"/>
  <c r="L28" i="14"/>
  <c r="L24" i="14"/>
  <c r="L36" i="14"/>
  <c r="L33" i="14"/>
  <c r="L26" i="14"/>
  <c r="L18" i="14"/>
  <c r="L41" i="14"/>
  <c r="L31" i="14"/>
  <c r="L29" i="14"/>
  <c r="L34" i="13"/>
  <c r="L14" i="14"/>
  <c r="L19" i="14"/>
  <c r="L34" i="14"/>
  <c r="L37" i="14"/>
  <c r="J6" i="14"/>
  <c r="L16" i="13"/>
  <c r="L22" i="14"/>
  <c r="L30" i="14"/>
  <c r="L36" i="13"/>
  <c r="L33" i="13"/>
  <c r="L22" i="13"/>
  <c r="L35" i="13"/>
  <c r="L40" i="13"/>
  <c r="L14" i="13"/>
  <c r="L28" i="13"/>
  <c r="L23" i="13"/>
  <c r="L32" i="13"/>
  <c r="L25" i="13"/>
  <c r="L15" i="13"/>
  <c r="L26" i="13"/>
  <c r="L17" i="13"/>
  <c r="L20" i="13"/>
  <c r="L37" i="13"/>
  <c r="J6" i="13"/>
  <c r="L38" i="13"/>
  <c r="L30" i="13"/>
  <c r="L19" i="13"/>
  <c r="L39" i="13"/>
  <c r="L29" i="13"/>
  <c r="L24" i="13"/>
  <c r="L41" i="13"/>
  <c r="L31" i="13"/>
  <c r="L39" i="12"/>
  <c r="J6" i="12"/>
  <c r="L15" i="12"/>
  <c r="L21" i="12"/>
  <c r="L28" i="12"/>
  <c r="L19" i="12"/>
  <c r="L23" i="12"/>
  <c r="L32" i="12"/>
  <c r="L36" i="12"/>
  <c r="L14" i="12"/>
  <c r="L34" i="12"/>
  <c r="L40" i="12"/>
  <c r="L22" i="12"/>
  <c r="L16" i="12"/>
  <c r="L29" i="12"/>
  <c r="L31" i="10"/>
  <c r="L33" i="12"/>
  <c r="L20" i="12"/>
  <c r="L24" i="12"/>
  <c r="L37" i="12"/>
  <c r="L25" i="12"/>
  <c r="L18" i="12"/>
  <c r="L38" i="12"/>
  <c r="L41" i="12"/>
  <c r="L26" i="12"/>
  <c r="L35" i="12"/>
  <c r="L30" i="12"/>
  <c r="L31" i="12"/>
  <c r="L39" i="11"/>
  <c r="J6" i="11"/>
  <c r="L32" i="11"/>
  <c r="L23" i="11"/>
  <c r="L28" i="11"/>
  <c r="L19" i="11"/>
  <c r="L40" i="11"/>
  <c r="L34" i="11"/>
  <c r="L36" i="11"/>
  <c r="L21" i="11"/>
  <c r="L15" i="11"/>
  <c r="L25" i="11"/>
  <c r="L30" i="11"/>
  <c r="L14" i="11"/>
  <c r="L16" i="11"/>
  <c r="L18" i="11"/>
  <c r="L20" i="11"/>
  <c r="L22" i="11"/>
  <c r="L24" i="11"/>
  <c r="L29" i="11"/>
  <c r="L26" i="11"/>
  <c r="L33" i="11"/>
  <c r="L35" i="11"/>
  <c r="L37" i="11"/>
  <c r="L17" i="11"/>
  <c r="L31" i="11"/>
  <c r="L41" i="11"/>
  <c r="L21" i="10"/>
  <c r="L40" i="10"/>
  <c r="L35" i="10"/>
  <c r="L15" i="10"/>
  <c r="L32" i="10"/>
  <c r="L24" i="10"/>
  <c r="L14" i="10"/>
  <c r="L17" i="10"/>
  <c r="L22" i="10"/>
  <c r="L38" i="10"/>
  <c r="L26" i="10"/>
  <c r="L18" i="10"/>
  <c r="J6" i="10"/>
  <c r="L39" i="10"/>
  <c r="L19" i="10"/>
  <c r="L29" i="10"/>
  <c r="L20" i="10"/>
  <c r="L37" i="10"/>
  <c r="L33" i="10"/>
  <c r="L23" i="10"/>
  <c r="L25" i="10"/>
  <c r="L41" i="10"/>
  <c r="L34" i="10"/>
  <c r="L28" i="10"/>
  <c r="L30" i="10"/>
  <c r="L16" i="10"/>
  <c r="L38" i="9"/>
  <c r="L34" i="9"/>
  <c r="L39" i="9"/>
  <c r="L24" i="9"/>
  <c r="L20" i="9"/>
  <c r="L40" i="9"/>
  <c r="L17" i="9"/>
  <c r="L31" i="9"/>
  <c r="L16" i="9"/>
  <c r="L14" i="9"/>
  <c r="L18" i="9"/>
  <c r="L22" i="9"/>
  <c r="L29" i="9"/>
  <c r="L30" i="9"/>
  <c r="L41" i="9"/>
  <c r="L37" i="9"/>
  <c r="J6" i="9"/>
  <c r="L26" i="9"/>
  <c r="L33" i="9"/>
  <c r="L35" i="9"/>
  <c r="L25" i="9"/>
  <c r="L21" i="9"/>
  <c r="L15" i="9"/>
  <c r="L28" i="9"/>
  <c r="L19" i="9"/>
  <c r="L32" i="9"/>
  <c r="L23" i="9"/>
  <c r="J6" i="8"/>
  <c r="L33" i="8"/>
  <c r="L19" i="8"/>
  <c r="L24" i="8"/>
  <c r="L34" i="8"/>
  <c r="L39" i="8"/>
  <c r="L15" i="8"/>
  <c r="L29" i="8"/>
  <c r="L30" i="8"/>
  <c r="L35" i="8"/>
  <c r="L17" i="8"/>
  <c r="L22" i="8"/>
  <c r="L31" i="8"/>
  <c r="L38" i="8"/>
  <c r="L21" i="8"/>
  <c r="L25" i="8"/>
  <c r="L16" i="8"/>
  <c r="L23" i="8"/>
  <c r="L20" i="8"/>
  <c r="L32" i="8"/>
  <c r="L28" i="8"/>
  <c r="L18" i="8"/>
  <c r="L41" i="8"/>
  <c r="L37" i="8"/>
  <c r="L14" i="8"/>
  <c r="L26" i="8"/>
  <c r="L40" i="8"/>
  <c r="L32" i="7"/>
  <c r="L40" i="7"/>
  <c r="L14" i="7"/>
  <c r="L31" i="7"/>
  <c r="L39" i="7"/>
  <c r="L35" i="7"/>
  <c r="L17" i="7"/>
  <c r="L21" i="7"/>
  <c r="L25" i="7"/>
  <c r="J6" i="7"/>
  <c r="L15" i="7"/>
  <c r="L22" i="7"/>
  <c r="L28" i="7"/>
  <c r="L36" i="7"/>
  <c r="L19" i="7"/>
  <c r="L34" i="7"/>
  <c r="L41" i="7"/>
  <c r="L18" i="7"/>
  <c r="L23" i="7"/>
  <c r="L30" i="7"/>
  <c r="L20" i="7"/>
  <c r="L16" i="7"/>
  <c r="L29" i="7"/>
  <c r="L33" i="7"/>
  <c r="L38" i="7"/>
  <c r="L26" i="7"/>
  <c r="L24" i="7"/>
  <c r="L31" i="6"/>
  <c r="L23" i="6"/>
  <c r="L18" i="6"/>
  <c r="L32" i="6"/>
  <c r="L19" i="6"/>
  <c r="L41" i="6"/>
  <c r="L15" i="6"/>
  <c r="L30" i="6"/>
  <c r="L16" i="6"/>
  <c r="L38" i="6"/>
  <c r="L17" i="6"/>
  <c r="L20" i="6"/>
  <c r="L34" i="6"/>
  <c r="L24" i="6"/>
  <c r="J6" i="6"/>
  <c r="L26" i="6"/>
  <c r="L21" i="6"/>
  <c r="L35" i="6"/>
  <c r="L29" i="6"/>
  <c r="L39" i="6"/>
  <c r="L14" i="6"/>
  <c r="L25" i="6"/>
  <c r="L37" i="6"/>
  <c r="L40" i="6"/>
  <c r="L22" i="6"/>
  <c r="L28" i="6"/>
  <c r="L33" i="6"/>
  <c r="D27" i="1"/>
  <c r="G8" i="1"/>
  <c r="P27" i="1"/>
  <c r="G7" i="1"/>
  <c r="D43" i="1"/>
  <c r="G9" i="1"/>
  <c r="P43" i="1"/>
  <c r="H5" i="1"/>
  <c r="D8" i="1"/>
  <c r="H4" i="1"/>
  <c r="J2" i="1" s="1"/>
  <c r="D7" i="1"/>
  <c r="L42" i="1"/>
  <c r="C8" i="1"/>
  <c r="G5" i="1"/>
  <c r="G4" i="1"/>
  <c r="C7" i="1"/>
  <c r="C9" i="1"/>
  <c r="G6" i="1"/>
  <c r="L26" i="3" a="1"/>
  <c r="T38" i="3" l="1"/>
  <c r="H11" i="3" s="1"/>
  <c r="X38" i="3"/>
  <c r="H12" i="3" s="1"/>
  <c r="H38" i="3"/>
  <c r="H8" i="3" s="1"/>
  <c r="J19" i="3"/>
  <c r="J7" i="3"/>
  <c r="J18" i="3"/>
  <c r="H7" i="3"/>
  <c r="H18" i="3"/>
  <c r="G8" i="3"/>
  <c r="G19" i="3"/>
  <c r="G9" i="3"/>
  <c r="G20" i="3"/>
  <c r="G7" i="3"/>
  <c r="P38" i="3"/>
  <c r="L26" i="3"/>
  <c r="J9" i="3" s="1"/>
  <c r="L43" i="1"/>
  <c r="D39" i="3"/>
  <c r="L42" i="16"/>
  <c r="L42" i="15"/>
  <c r="L42" i="14"/>
  <c r="L42" i="13"/>
  <c r="L42" i="12"/>
  <c r="L42" i="11"/>
  <c r="L42" i="10"/>
  <c r="L42" i="9"/>
  <c r="L42" i="8"/>
  <c r="L42" i="7"/>
  <c r="L42" i="6"/>
  <c r="H6" i="1"/>
  <c r="G10" i="1"/>
  <c r="J6" i="1" s="1"/>
  <c r="D9" i="1"/>
  <c r="D10" i="1" s="1"/>
  <c r="C10" i="1"/>
  <c r="L31" i="3" a="1"/>
  <c r="L34" i="3" a="1"/>
  <c r="L30" i="3" a="1"/>
  <c r="L28" i="3" a="1"/>
  <c r="L37" i="3" a="1"/>
  <c r="L29" i="3" a="1"/>
  <c r="L36" i="3" a="1"/>
  <c r="L33" i="3" a="1"/>
  <c r="L27" i="3" a="1"/>
  <c r="L35" i="3" a="1"/>
  <c r="L32" i="3" a="1"/>
  <c r="T39" i="3" l="1"/>
  <c r="X39" i="3"/>
  <c r="H19" i="3"/>
  <c r="H39" i="3"/>
  <c r="J13" i="3"/>
  <c r="J20" i="3"/>
  <c r="J21" i="3" s="1"/>
  <c r="G13" i="3"/>
  <c r="G21" i="3"/>
  <c r="P39" i="3"/>
  <c r="H10" i="3"/>
  <c r="L28" i="3"/>
  <c r="L9" i="3" s="1"/>
  <c r="L34" i="3"/>
  <c r="T9" i="3" s="1"/>
  <c r="L36" i="3"/>
  <c r="W9" i="3" s="1"/>
  <c r="L37" i="3"/>
  <c r="X9" i="3" s="1"/>
  <c r="L32" i="3"/>
  <c r="R9" i="3" s="1"/>
  <c r="L35" i="3"/>
  <c r="V9" i="3" s="1"/>
  <c r="L30" i="3"/>
  <c r="O9" i="3" s="1"/>
  <c r="L33" i="3"/>
  <c r="S9" i="3" s="1"/>
  <c r="L27" i="3"/>
  <c r="K9" i="3" s="1"/>
  <c r="L29" i="3"/>
  <c r="N9" i="3" s="1"/>
  <c r="L31" i="3"/>
  <c r="P9" i="3" s="1"/>
  <c r="H6" i="7"/>
  <c r="J4" i="7" s="1"/>
  <c r="H6" i="13"/>
  <c r="J4" i="13" s="1"/>
  <c r="D9" i="15"/>
  <c r="D10" i="15" s="1"/>
  <c r="D11" i="15" s="1"/>
  <c r="D9" i="9"/>
  <c r="D10" i="9" s="1"/>
  <c r="D11" i="9" s="1"/>
  <c r="H6" i="10"/>
  <c r="H10" i="10" s="1"/>
  <c r="L43" i="15"/>
  <c r="H6" i="15"/>
  <c r="J4" i="15" s="1"/>
  <c r="D9" i="16"/>
  <c r="D10" i="16" s="1"/>
  <c r="D11" i="16" s="1"/>
  <c r="H6" i="16"/>
  <c r="L43" i="16"/>
  <c r="D9" i="14"/>
  <c r="D10" i="14" s="1"/>
  <c r="D11" i="14" s="1"/>
  <c r="H6" i="14"/>
  <c r="L43" i="14"/>
  <c r="L43" i="13"/>
  <c r="D9" i="13"/>
  <c r="D10" i="13" s="1"/>
  <c r="D11" i="13" s="1"/>
  <c r="H6" i="12"/>
  <c r="D9" i="12"/>
  <c r="D10" i="12" s="1"/>
  <c r="D11" i="12" s="1"/>
  <c r="L43" i="12"/>
  <c r="H6" i="11"/>
  <c r="D9" i="11"/>
  <c r="D10" i="11" s="1"/>
  <c r="D11" i="11" s="1"/>
  <c r="L43" i="11"/>
  <c r="L43" i="10"/>
  <c r="D9" i="10"/>
  <c r="D10" i="10" s="1"/>
  <c r="D11" i="10" s="1"/>
  <c r="H6" i="9"/>
  <c r="H10" i="9" s="1"/>
  <c r="L43" i="9"/>
  <c r="H6" i="8"/>
  <c r="D9" i="8"/>
  <c r="D10" i="8" s="1"/>
  <c r="D11" i="8" s="1"/>
  <c r="L43" i="8"/>
  <c r="L43" i="7"/>
  <c r="D9" i="7"/>
  <c r="D10" i="7" s="1"/>
  <c r="D11" i="7" s="1"/>
  <c r="H6" i="6"/>
  <c r="D9" i="6"/>
  <c r="D10" i="6" s="1"/>
  <c r="D11" i="6" s="1"/>
  <c r="L43" i="6"/>
  <c r="J4" i="1"/>
  <c r="H10" i="1"/>
  <c r="J8" i="1" s="1"/>
  <c r="D11" i="1"/>
  <c r="K13" i="3" l="1"/>
  <c r="K20" i="3"/>
  <c r="K21" i="3" s="1"/>
  <c r="L13" i="3"/>
  <c r="L20" i="3"/>
  <c r="L21" i="3" s="1"/>
  <c r="S13" i="3"/>
  <c r="S20" i="3"/>
  <c r="S21" i="3" s="1"/>
  <c r="P13" i="3"/>
  <c r="P20" i="3"/>
  <c r="P21" i="3" s="1"/>
  <c r="W13" i="3"/>
  <c r="W20" i="3"/>
  <c r="W21" i="3" s="1"/>
  <c r="V13" i="3"/>
  <c r="V20" i="3"/>
  <c r="V21" i="3" s="1"/>
  <c r="N13" i="3"/>
  <c r="N20" i="3"/>
  <c r="N21" i="3" s="1"/>
  <c r="T13" i="3"/>
  <c r="T20" i="3"/>
  <c r="T21" i="3" s="1"/>
  <c r="O13" i="3"/>
  <c r="O20" i="3"/>
  <c r="O21" i="3" s="1"/>
  <c r="R13" i="3"/>
  <c r="R20" i="3"/>
  <c r="R21" i="3" s="1"/>
  <c r="X13" i="3"/>
  <c r="X20" i="3"/>
  <c r="X21" i="3" s="1"/>
  <c r="H10" i="7"/>
  <c r="J8" i="7" s="1"/>
  <c r="H10" i="13"/>
  <c r="H11" i="13" s="1"/>
  <c r="J10" i="13" s="1"/>
  <c r="L38" i="3"/>
  <c r="H20" i="3" s="1"/>
  <c r="H21" i="3" s="1"/>
  <c r="H22" i="3" s="1"/>
  <c r="J4" i="10"/>
  <c r="H10" i="15"/>
  <c r="J8" i="15" s="1"/>
  <c r="J4" i="16"/>
  <c r="H10" i="16"/>
  <c r="J4" i="14"/>
  <c r="H10" i="14"/>
  <c r="J4" i="12"/>
  <c r="H10" i="12"/>
  <c r="J4" i="9"/>
  <c r="H10" i="11"/>
  <c r="J4" i="11"/>
  <c r="J8" i="10"/>
  <c r="H11" i="10"/>
  <c r="J10" i="10" s="1"/>
  <c r="J8" i="9"/>
  <c r="H11" i="9"/>
  <c r="J10" i="9" s="1"/>
  <c r="J4" i="8"/>
  <c r="H10" i="8"/>
  <c r="H10" i="6"/>
  <c r="J4" i="6"/>
  <c r="H11" i="1"/>
  <c r="J10" i="1" s="1"/>
  <c r="T14" i="3" l="1"/>
  <c r="L14" i="3"/>
  <c r="X14" i="3"/>
  <c r="L22" i="3"/>
  <c r="P14" i="3"/>
  <c r="T22" i="3"/>
  <c r="X22" i="3"/>
  <c r="P22" i="3"/>
  <c r="L39" i="3"/>
  <c r="H9" i="3"/>
  <c r="H13" i="3" s="1"/>
  <c r="H14" i="3" s="1"/>
  <c r="J8" i="13"/>
  <c r="H11" i="7"/>
  <c r="J10" i="7" s="1"/>
  <c r="H11" i="15"/>
  <c r="J10" i="15" s="1"/>
  <c r="J8" i="16"/>
  <c r="H11" i="16"/>
  <c r="J10" i="16" s="1"/>
  <c r="J8" i="14"/>
  <c r="H11" i="14"/>
  <c r="J10" i="14" s="1"/>
  <c r="J8" i="12"/>
  <c r="H11" i="12"/>
  <c r="J10" i="12" s="1"/>
  <c r="J8" i="11"/>
  <c r="H11" i="11"/>
  <c r="J10" i="11" s="1"/>
  <c r="J8" i="8"/>
  <c r="H11" i="8"/>
  <c r="J10" i="8" s="1"/>
  <c r="J8" i="6"/>
  <c r="H11" i="6"/>
  <c r="J1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<sst xmlns="http://schemas.openxmlformats.org/spreadsheetml/2006/main" count="1299" uniqueCount="115">
  <si>
    <t>INGRESOS</t>
  </si>
  <si>
    <t>PRESUPUESTO</t>
  </si>
  <si>
    <t>REAL</t>
  </si>
  <si>
    <t>TOTAL</t>
  </si>
  <si>
    <t>FACTURAS</t>
  </si>
  <si>
    <t>Alquiler</t>
  </si>
  <si>
    <t>Internet</t>
  </si>
  <si>
    <t>Teléfono</t>
  </si>
  <si>
    <t>Célular</t>
  </si>
  <si>
    <t>Agua</t>
  </si>
  <si>
    <t>Eléctricidad</t>
  </si>
  <si>
    <t>Garaje</t>
  </si>
  <si>
    <t>Gas Doméstico</t>
  </si>
  <si>
    <t>Gasolina</t>
  </si>
  <si>
    <t>Netflix</t>
  </si>
  <si>
    <t>Página Web</t>
  </si>
  <si>
    <t>Empleo</t>
  </si>
  <si>
    <t>Youtube</t>
  </si>
  <si>
    <t>Ventas en línea</t>
  </si>
  <si>
    <t>GASTOS</t>
  </si>
  <si>
    <t>Ropa</t>
  </si>
  <si>
    <t>Restaurantes</t>
  </si>
  <si>
    <t>Regalos</t>
  </si>
  <si>
    <t>Transporte</t>
  </si>
  <si>
    <t>Entretenimiento</t>
  </si>
  <si>
    <t>Paseos</t>
  </si>
  <si>
    <t>Médico</t>
  </si>
  <si>
    <t>Mascotas</t>
  </si>
  <si>
    <t>AHORROS</t>
  </si>
  <si>
    <t>INVERSIONES</t>
  </si>
  <si>
    <t>Compra de casa</t>
  </si>
  <si>
    <t>Viaje a Europa</t>
  </si>
  <si>
    <t>Emergencias</t>
  </si>
  <si>
    <t>Acciones</t>
  </si>
  <si>
    <t>Terrenos</t>
  </si>
  <si>
    <t>Tarjeta Visa Clásica</t>
  </si>
  <si>
    <t>Tarjeta CRM</t>
  </si>
  <si>
    <t>Préstamo personal</t>
  </si>
  <si>
    <t>Préstamo Hipotecario</t>
  </si>
  <si>
    <t>Ingresos</t>
  </si>
  <si>
    <t>Facturas</t>
  </si>
  <si>
    <t>Gastos</t>
  </si>
  <si>
    <t>Ahorros</t>
  </si>
  <si>
    <t>Inversiones</t>
  </si>
  <si>
    <t>SALDO</t>
  </si>
  <si>
    <t>RESUMEN DEL FLUJO DE EFECTIVO</t>
  </si>
  <si>
    <t>RESUMEN FINANCIERO</t>
  </si>
  <si>
    <t>INGRESO NETO</t>
  </si>
  <si>
    <t>Escoger el año</t>
  </si>
  <si>
    <t>FECHA</t>
  </si>
  <si>
    <t>MONTO</t>
  </si>
  <si>
    <t>DESCRIPCIÓN</t>
  </si>
  <si>
    <t>CATEGORIA</t>
  </si>
  <si>
    <t>Total Ingresos</t>
  </si>
  <si>
    <t>Saldo Real</t>
  </si>
  <si>
    <t>Total Gastos</t>
  </si>
  <si>
    <t>REGISTRO DE GASTOS</t>
  </si>
  <si>
    <t>DIFERENCIA</t>
  </si>
  <si>
    <t>Diferencia de Saldos</t>
  </si>
  <si>
    <t>Saldo del presupuesto</t>
  </si>
  <si>
    <t>RESUMEN DE FLUJO DE EFECTIVO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</si>
  <si>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</si>
  <si>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</si>
  <si>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</si>
  <si>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</si>
  <si>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</si>
  <si>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</si>
  <si>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</si>
  <si>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</si>
  <si>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</si>
  <si>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</si>
  <si>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</si>
  <si>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</si>
  <si>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MES</t>
  </si>
  <si>
    <t>Créditos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</si>
  <si>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</si>
  <si>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</si>
  <si>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</si>
  <si>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</si>
  <si>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</si>
  <si>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</si>
  <si>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</si>
  <si>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</si>
  <si>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</si>
  <si>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</si>
  <si>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</si>
  <si>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</si>
  <si>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TOTAL TRIMESTRE 1</t>
  </si>
  <si>
    <t>TOTAL TRIMESTRE 2</t>
  </si>
  <si>
    <t>TOTAL TRIMESTRE 3</t>
  </si>
  <si>
    <t>TOTAL TRIMESTRE 4</t>
  </si>
  <si>
    <t>RESUMEN DE FLUJO DE EFECTIVO REAL MENSUAL</t>
  </si>
  <si>
    <t>RESUMEN FINANCIERO REAL MENSUAL</t>
  </si>
  <si>
    <t>CRÉDITOS</t>
  </si>
  <si>
    <t>SALDO TRIMESTRE 1</t>
  </si>
  <si>
    <t>SALDO TRIMESTRE 2</t>
  </si>
  <si>
    <t>SALDO TRIMESTRE 3</t>
  </si>
  <si>
    <t>SALDO TRIMESTRE 4</t>
  </si>
  <si>
    <t>Viaje a Cusco</t>
  </si>
  <si>
    <t>Otros</t>
  </si>
  <si>
    <t>Departamento</t>
  </si>
  <si>
    <t>Celebración por cumpleaños</t>
  </si>
  <si>
    <t>Celebración de aniversario</t>
  </si>
  <si>
    <t>Por 5 galones</t>
  </si>
  <si>
    <t>Película de cine</t>
  </si>
  <si>
    <t>Centro Comercial</t>
  </si>
  <si>
    <t>Ropa para verano</t>
  </si>
  <si>
    <t>Visita a familiares</t>
  </si>
  <si>
    <t>Pasajes de tren</t>
  </si>
  <si>
    <t>Comida de Tommy</t>
  </si>
  <si>
    <t>Arena de Tommy</t>
  </si>
  <si>
    <t>Chequeo general</t>
  </si>
  <si>
    <t>Regalo para mi sobrino</t>
  </si>
  <si>
    <t>Visita al dentista</t>
  </si>
  <si>
    <t>Veranear en la playa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</si>
</sst>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#,##0.00_ ;[Red]\-#,##0.00\ "/>
  </numFmts>
  <fonts count="15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30"/>
      <color theme="6"/>
      <name val="Century Gothic"/>
      <family val="2"/>
      <scheme val="minor"/>
    </font>
    <font>
      <sz val="8"/>
      <color theme="0"/>
      <name val="Century Gothic"/>
      <family val="2"/>
      <scheme val="minor"/>
    </font>
    <font>
      <sz val="11"/>
      <name val="Century Gothic"/>
      <family val="2"/>
      <scheme val="minor"/>
    </font>
    <font>
      <b/>
      <sz val="11"/>
      <color theme="6" tint="-0.249977111117893"/>
      <name val="Century Gothic"/>
      <family val="2"/>
      <scheme val="minor"/>
    </font>
    <font>
      <sz val="18"/>
      <color theme="0"/>
      <name val="Century Gothic"/>
      <family val="2"/>
      <scheme val="minor"/>
    </font>
    <font>
      <sz val="18"/>
      <color theme="1"/>
      <name val="Century Gothic"/>
      <family val="2"/>
      <scheme val="minor"/>
    </font>
    <font>
      <b/>
      <sz val="11"/>
      <color theme="6" tint="-0.499984740745262"/>
      <name val="Century Gothic"/>
      <family val="2"/>
      <scheme val="minor"/>
    </font>
    <font>
      <b/>
      <sz val="12"/>
      <color theme="6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8"/>
      <name val="Century Gothic"/>
      <family val="2"/>
      <scheme val="minor"/>
    </font>
    <font>
      <b/>
      <sz val="1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/>
      <bottom style="medium">
        <color theme="6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0"/>
      </bottom>
      <diagonal/>
    </border>
    <border>
      <left style="thin">
        <color theme="6"/>
      </left>
      <right style="thin">
        <color theme="6"/>
      </right>
      <top style="medium">
        <color theme="0"/>
      </top>
      <bottom style="thin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thin">
        <color theme="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0" fillId="0" borderId="6" xfId="0" applyBorder="1"/>
    <xf numFmtId="43" fontId="2" fillId="2" borderId="6" xfId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3" fontId="2" fillId="2" borderId="7" xfId="1" applyFont="1" applyFill="1" applyBorder="1" applyAlignment="1">
      <alignment horizontal="center"/>
    </xf>
    <xf numFmtId="43" fontId="9" fillId="2" borderId="8" xfId="1" applyFont="1" applyFill="1" applyBorder="1" applyAlignment="1"/>
    <xf numFmtId="0" fontId="0" fillId="0" borderId="6" xfId="0" applyBorder="1" applyProtection="1">
      <protection locked="0"/>
    </xf>
    <xf numFmtId="43" fontId="0" fillId="0" borderId="6" xfId="1" applyFont="1" applyBorder="1" applyProtection="1">
      <protection locked="0"/>
    </xf>
    <xf numFmtId="43" fontId="5" fillId="0" borderId="6" xfId="1" applyFont="1" applyFill="1" applyBorder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43" fontId="0" fillId="0" borderId="0" xfId="1" applyFont="1" applyProtection="1">
      <protection locked="0"/>
    </xf>
    <xf numFmtId="43" fontId="0" fillId="8" borderId="6" xfId="1" applyFont="1" applyFill="1" applyBorder="1"/>
    <xf numFmtId="43" fontId="5" fillId="8" borderId="6" xfId="1" applyFont="1" applyFill="1" applyBorder="1"/>
    <xf numFmtId="43" fontId="1" fillId="8" borderId="6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8" borderId="6" xfId="0" applyFont="1" applyFill="1" applyBorder="1"/>
    <xf numFmtId="43" fontId="2" fillId="8" borderId="6" xfId="1" applyFont="1" applyFill="1" applyBorder="1" applyProtection="1"/>
    <xf numFmtId="43" fontId="13" fillId="8" borderId="6" xfId="1" applyFont="1" applyFill="1" applyBorder="1" applyProtection="1"/>
    <xf numFmtId="0" fontId="0" fillId="8" borderId="6" xfId="0" applyFill="1" applyBorder="1"/>
    <xf numFmtId="43" fontId="0" fillId="8" borderId="6" xfId="1" applyFont="1" applyFill="1" applyBorder="1" applyProtection="1"/>
    <xf numFmtId="43" fontId="5" fillId="8" borderId="6" xfId="1" applyFont="1" applyFill="1" applyBorder="1" applyProtection="1"/>
    <xf numFmtId="43" fontId="1" fillId="8" borderId="6" xfId="1" applyFont="1" applyFill="1" applyBorder="1" applyProtection="1"/>
    <xf numFmtId="43" fontId="2" fillId="2" borderId="6" xfId="1" applyFont="1" applyFill="1" applyBorder="1" applyAlignment="1" applyProtection="1">
      <alignment horizontal="center"/>
    </xf>
    <xf numFmtId="43" fontId="9" fillId="2" borderId="8" xfId="1" applyFont="1" applyFill="1" applyBorder="1" applyAlignment="1" applyProtection="1"/>
    <xf numFmtId="43" fontId="0" fillId="0" borderId="0" xfId="1" applyFont="1" applyProtection="1"/>
    <xf numFmtId="0" fontId="11" fillId="9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11" fillId="10" borderId="0" xfId="0" applyFont="1" applyFill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5" fontId="8" fillId="2" borderId="4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8" fillId="6" borderId="5" xfId="1" applyNumberFormat="1" applyFont="1" applyFill="1" applyBorder="1" applyAlignment="1">
      <alignment horizontal="center" vertical="center"/>
    </xf>
    <xf numFmtId="165" fontId="8" fillId="6" borderId="0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/>
    </xf>
    <xf numFmtId="165" fontId="7" fillId="4" borderId="4" xfId="1" applyNumberFormat="1" applyFont="1" applyFill="1" applyBorder="1" applyAlignment="1">
      <alignment horizontal="center" vertical="center"/>
    </xf>
    <xf numFmtId="165" fontId="7" fillId="5" borderId="4" xfId="1" applyNumberFormat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3" xfId="2" xr:uid="{D08E58D9-60F9-47CB-8642-B8B1BE709163}"/>
  </cellStyles>
  <dxfs count="22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numFmt numFmtId="164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Anual!$G$6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Anual!$F$7:$F$12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Anual!$G$7:$G$12</c:f>
              <c:numCache>
                <c:formatCode>_(* #,##0.00_);_(* \(#,##0.00\);_(* "-"??_);_(@_)</c:formatCode>
                <c:ptCount val="6"/>
                <c:pt idx="0">
                  <c:v>10300</c:v>
                </c:pt>
                <c:pt idx="1">
                  <c:v>1730</c:v>
                </c:pt>
                <c:pt idx="2">
                  <c:v>1630</c:v>
                </c:pt>
                <c:pt idx="3">
                  <c:v>4200</c:v>
                </c:pt>
                <c:pt idx="4">
                  <c:v>1175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41D1-A06B-991DC0E19D6B}"/>
            </c:ext>
          </c:extLst>
        </c:ser>
        <c:ser>
          <c:idx val="1"/>
          <c:order val="1"/>
          <c:tx>
            <c:strRef>
              <c:f>Anual!$H$6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Anual!$F$7:$F$12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Anual!$H$7:$H$12</c:f>
              <c:numCache>
                <c:formatCode>_(* #,##0.00_);_(* \(#,##0.00\);_(* "-"??_);_(@_)</c:formatCode>
                <c:ptCount val="6"/>
                <c:pt idx="0">
                  <c:v>9270</c:v>
                </c:pt>
                <c:pt idx="1">
                  <c:v>1685</c:v>
                </c:pt>
                <c:pt idx="2">
                  <c:v>1355</c:v>
                </c:pt>
                <c:pt idx="3">
                  <c:v>4100</c:v>
                </c:pt>
                <c:pt idx="4">
                  <c:v>1075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F-41D1-A06B-991DC0E1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GASTOS REALES (%)</a:t>
            </a:r>
          </a:p>
        </c:rich>
      </c:tx>
      <c:layout>
        <c:manualLayout>
          <c:xMode val="edge"/>
          <c:yMode val="edge"/>
          <c:x val="4.2150568181818171E-2"/>
          <c:y val="6.8834688346883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49779103535353536"/>
          <c:y val="3.4587398373983738E-2"/>
          <c:w val="0.44847569444444446"/>
          <c:h val="0.9625819783197832"/>
        </c:manualLayout>
      </c:layout>
      <c:doughnutChart>
        <c:varyColors val="1"/>
        <c:ser>
          <c:idx val="1"/>
          <c:order val="0"/>
          <c:tx>
            <c:strRef>
              <c:f>Anual!$H$6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70-40DF-A90E-8CF929067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70-40DF-A90E-8CF929067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70-40DF-A90E-8CF929067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70-40DF-A90E-8CF929067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70-40DF-A90E-8CF929067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Anual!$F$8:$F$12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Anual!$H$8:$H$12</c:f>
              <c:numCache>
                <c:formatCode>_(* #,##0.00_);_(* \(#,##0.00\);_(* "-"??_);_(@_)</c:formatCode>
                <c:ptCount val="5"/>
                <c:pt idx="0">
                  <c:v>1685</c:v>
                </c:pt>
                <c:pt idx="1">
                  <c:v>1355</c:v>
                </c:pt>
                <c:pt idx="2">
                  <c:v>4100</c:v>
                </c:pt>
                <c:pt idx="3">
                  <c:v>1075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70-40DF-A90E-8CF92906746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Enero!$G$3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Enero!$F$4:$F$9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Enero!$G$4:$G$9</c:f>
              <c:numCache>
                <c:formatCode>_(* #,##0.00_);_(* \(#,##0.00\);_(* "-"??_);_(@_)</c:formatCode>
                <c:ptCount val="6"/>
                <c:pt idx="0">
                  <c:v>10300</c:v>
                </c:pt>
                <c:pt idx="1">
                  <c:v>1730</c:v>
                </c:pt>
                <c:pt idx="2">
                  <c:v>1630</c:v>
                </c:pt>
                <c:pt idx="3">
                  <c:v>4200</c:v>
                </c:pt>
                <c:pt idx="4">
                  <c:v>1175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8-4A68-B480-AB712049655B}"/>
            </c:ext>
          </c:extLst>
        </c:ser>
        <c:ser>
          <c:idx val="1"/>
          <c:order val="1"/>
          <c:tx>
            <c:strRef>
              <c:f>Enero!$H$3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Enero!$F$4:$F$9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Enero!$H$4:$H$9</c:f>
              <c:numCache>
                <c:formatCode>_(* #,##0.00_);_(* \(#,##0.00\);_(* "-"??_);_(@_)</c:formatCode>
                <c:ptCount val="6"/>
                <c:pt idx="0">
                  <c:v>9270</c:v>
                </c:pt>
                <c:pt idx="1">
                  <c:v>1685</c:v>
                </c:pt>
                <c:pt idx="2">
                  <c:v>1355</c:v>
                </c:pt>
                <c:pt idx="3">
                  <c:v>4100</c:v>
                </c:pt>
                <c:pt idx="4">
                  <c:v>1075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8-4A68-B480-AB7120496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Enero!$H$3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4B-4EAF-B495-8B246AAE1A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84B-4EAF-B495-8B246AAE1A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4B-4EAF-B495-8B246AAE1A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84B-4EAF-B495-8B246AAE1A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84B-4EAF-B495-8B246AAE1A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Enero!$F$5:$F$9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Enero!$H$5:$H$9</c:f>
              <c:numCache>
                <c:formatCode>_(* #,##0.00_);_(* \(#,##0.00\);_(* "-"??_);_(@_)</c:formatCode>
                <c:ptCount val="5"/>
                <c:pt idx="0">
                  <c:v>1685</c:v>
                </c:pt>
                <c:pt idx="1">
                  <c:v>1355</c:v>
                </c:pt>
                <c:pt idx="2">
                  <c:v>4100</c:v>
                </c:pt>
                <c:pt idx="3">
                  <c:v>1075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B-4EAF-B495-8B246AAE1A3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Febrero!$G$3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Febrero!$F$4:$F$9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Febrero!$G$4:$G$9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E-4253-A102-F2E5D30E0D16}"/>
            </c:ext>
          </c:extLst>
        </c:ser>
        <c:ser>
          <c:idx val="1"/>
          <c:order val="1"/>
          <c:tx>
            <c:strRef>
              <c:f>Febrero!$H$3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Febrero!$F$4:$F$9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Febrero!$H$4:$H$9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E-4253-A102-F2E5D30E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Febrero!$H$3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01-4B0E-85CD-66B4FE6D47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01-4B0E-85CD-66B4FE6D47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01-4B0E-85CD-66B4FE6D47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01-4B0E-85CD-66B4FE6D47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01-4B0E-85CD-66B4FE6D47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Febrero!$F$5:$F$9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Febrero!$H$5:$H$9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01-4B0E-85CD-66B4FE6D47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Marzo!$G$3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Marzo!$F$4:$F$9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Marzo!$G$4:$G$9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8-4013-ABEA-EC5FED8B1D74}"/>
            </c:ext>
          </c:extLst>
        </c:ser>
        <c:ser>
          <c:idx val="1"/>
          <c:order val="1"/>
          <c:tx>
            <c:strRef>
              <c:f>Marzo!$H$3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Marzo!$F$4:$F$9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Marzo!$H$4:$H$9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8-4013-ABEA-EC5FED8B1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Marzo!$H$3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F-4DCA-A3C2-BF72D505E9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F-4DCA-A3C2-BF72D505E9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8F-4DCA-A3C2-BF72D505E9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8F-4DCA-A3C2-BF72D505E9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8F-4DCA-A3C2-BF72D505E9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Marzo!$F$5:$F$9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Marzo!$H$5:$H$9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8F-4DCA-A3C2-BF72D505E90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Abril!$G$3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Abril!$F$4:$F$9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Abril!$G$4:$G$9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7-45E0-835F-E3CEB4A0144D}"/>
            </c:ext>
          </c:extLst>
        </c:ser>
        <c:ser>
          <c:idx val="1"/>
          <c:order val="1"/>
          <c:tx>
            <c:strRef>
              <c:f>Abril!$H$3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Abril!$F$4:$F$9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Abril!$H$4:$H$9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7-45E0-835F-E3CEB4A01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Abril!$H$3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D4-440B-BE55-C5FB3A3728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D4-440B-BE55-C5FB3A3728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D4-440B-BE55-C5FB3A3728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D4-440B-BE55-C5FB3A3728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D4-440B-BE55-C5FB3A3728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Abril!$F$5:$F$9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Abril!$H$5:$H$9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D4-440B-BE55-C5FB3A3728F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Mayo!$G$3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Mayo!$F$4:$F$9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Mayo!$G$4:$G$9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E-4303-AC65-D28F068460E1}"/>
            </c:ext>
          </c:extLst>
        </c:ser>
        <c:ser>
          <c:idx val="1"/>
          <c:order val="1"/>
          <c:tx>
            <c:strRef>
              <c:f>Mayo!$H$3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Mayo!$F$4:$F$9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Mayo!$H$4:$H$9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E-4303-AC65-D28F06846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Mayo!$H$3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61-4124-A2E1-9FB5AD4E9E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61-4124-A2E1-9FB5AD4E9E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61-4124-A2E1-9FB5AD4E9E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61-4124-A2E1-9FB5AD4E9E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61-4124-A2E1-9FB5AD4E9E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Mayo!$F$5:$F$9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Mayo!$H$5:$H$9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61-4124-A2E1-9FB5AD4E9ED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Junio!$G$3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Junio!$F$4:$F$9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Junio!$G$4:$G$9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E-4768-9CD3-949B91AA400D}"/>
            </c:ext>
          </c:extLst>
        </c:ser>
        <c:ser>
          <c:idx val="1"/>
          <c:order val="1"/>
          <c:tx>
            <c:strRef>
              <c:f>Junio!$H$3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Junio!$F$4:$F$9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Junio!$H$4:$H$9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E-4768-9CD3-949B91AA4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Junio!$H$3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5-4D43-9B74-37A4B7AFC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85-4D43-9B74-37A4B7AFC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85-4D43-9B74-37A4B7AFC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85-4D43-9B74-37A4B7AFC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85-4D43-9B74-37A4B7AFCB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Junio!$F$5:$F$9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Junio!$H$5:$H$9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85-4D43-9B74-37A4B7AFCB9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Julio!$G$3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Julio!$F$4:$F$9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Julio!$G$4:$G$9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E-4092-B185-AE6F913104D3}"/>
            </c:ext>
          </c:extLst>
        </c:ser>
        <c:ser>
          <c:idx val="1"/>
          <c:order val="1"/>
          <c:tx>
            <c:strRef>
              <c:f>Julio!$H$3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Julio!$F$4:$F$9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Julio!$H$4:$H$9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E-4092-B185-AE6F9131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Julio!$H$3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AA-4A3E-A80F-D51588EFAA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AA-4A3E-A80F-D51588EFAA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AA-4A3E-A80F-D51588EFAA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AA-4A3E-A80F-D51588EFAA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AA-4A3E-A80F-D51588EFAA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Julio!$F$5:$F$9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Julio!$H$5:$H$9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AA-4A3E-A80F-D51588EFAAE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Agosto!$G$3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Agosto!$F$4:$F$9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Agosto!$G$4:$G$9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0-4C61-857F-A86FE062C5D4}"/>
            </c:ext>
          </c:extLst>
        </c:ser>
        <c:ser>
          <c:idx val="1"/>
          <c:order val="1"/>
          <c:tx>
            <c:strRef>
              <c:f>Agosto!$H$3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Agosto!$F$4:$F$9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Agosto!$H$4:$H$9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0-4C61-857F-A86FE062C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Agosto!$H$3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3F-475E-A68D-A8BBBE5530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3F-475E-A68D-A8BBBE5530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3F-475E-A68D-A8BBBE5530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3F-475E-A68D-A8BBBE5530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3F-475E-A68D-A8BBBE5530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Agosto!$F$5:$F$9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Agosto!$H$5:$H$9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3F-475E-A68D-A8BBBE55304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Setiembre!$G$3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Setiembre!$F$4:$F$9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Setiembre!$G$4:$G$9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A-431C-8413-C237CBCD2FA6}"/>
            </c:ext>
          </c:extLst>
        </c:ser>
        <c:ser>
          <c:idx val="1"/>
          <c:order val="1"/>
          <c:tx>
            <c:strRef>
              <c:f>Setiembre!$H$3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Setiembre!$F$4:$F$9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Setiembre!$H$4:$H$9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A-431C-8413-C237CBCD2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Setiembre!$H$3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DD-4A6F-99F1-2DACBBADC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DD-4A6F-99F1-2DACBBADC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DD-4A6F-99F1-2DACBBADC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DD-4A6F-99F1-2DACBBADC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DD-4A6F-99F1-2DACBBADC5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Setiembre!$F$5:$F$9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Setiembre!$H$5:$H$9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DD-4A6F-99F1-2DACBBADC50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Octubre!$G$3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Octubre!$F$4:$F$9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Octubre!$G$4:$G$9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C-440F-A8E6-4D33F08CE03A}"/>
            </c:ext>
          </c:extLst>
        </c:ser>
        <c:ser>
          <c:idx val="1"/>
          <c:order val="1"/>
          <c:tx>
            <c:strRef>
              <c:f>Octubre!$H$3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Octubre!$F$4:$F$9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Octubre!$H$4:$H$9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C-440F-A8E6-4D33F08CE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Octubre!$H$3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C-424B-9445-5F04CFC96C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BC-424B-9445-5F04CFC96C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BC-424B-9445-5F04CFC96C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BC-424B-9445-5F04CFC96C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BC-424B-9445-5F04CFC96C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Octubre!$F$5:$F$9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Octubre!$H$5:$H$9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BC-424B-9445-5F04CFC96CF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Noviembre!$G$3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Noviembre!$F$4:$F$9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Noviembre!$G$4:$G$9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5-44D3-9D8C-BED06BF0315F}"/>
            </c:ext>
          </c:extLst>
        </c:ser>
        <c:ser>
          <c:idx val="1"/>
          <c:order val="1"/>
          <c:tx>
            <c:strRef>
              <c:f>Noviembre!$H$3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Noviembre!$F$4:$F$9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Noviembre!$H$4:$H$9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C5-44D3-9D8C-BED06BF03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Noviembre!$H$3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29-45B7-865D-C4982287B2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29-45B7-865D-C4982287B2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29-45B7-865D-C4982287B2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29-45B7-865D-C4982287B2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29-45B7-865D-C4982287B2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Noviembre!$F$5:$F$9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Noviembre!$H$5:$H$9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29-45B7-865D-C4982287B2E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Diciembre!$G$3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Diciembre!$F$4:$F$9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Diciembre!$G$4:$G$9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E-4394-92D8-E4373FA7A3E0}"/>
            </c:ext>
          </c:extLst>
        </c:ser>
        <c:ser>
          <c:idx val="1"/>
          <c:order val="1"/>
          <c:tx>
            <c:strRef>
              <c:f>Diciembre!$H$3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Diciembre!$F$4:$F$9</c:f>
              <c:strCache>
                <c:ptCount val="6"/>
                <c:pt idx="0">
                  <c:v>Ingresos</c:v>
                </c:pt>
                <c:pt idx="1">
                  <c:v>Facturas</c:v>
                </c:pt>
                <c:pt idx="2">
                  <c:v>Gastos</c:v>
                </c:pt>
                <c:pt idx="3">
                  <c:v>Créditos</c:v>
                </c:pt>
                <c:pt idx="4">
                  <c:v>Ahorros</c:v>
                </c:pt>
                <c:pt idx="5">
                  <c:v>Inversiones</c:v>
                </c:pt>
              </c:strCache>
            </c:strRef>
          </c:cat>
          <c:val>
            <c:numRef>
              <c:f>Diciembre!$H$4:$H$9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E-4394-92D8-E4373FA7A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95030096"/>
        <c:axId val="1195024272"/>
      </c:barChart>
      <c:catAx>
        <c:axId val="1195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24272"/>
        <c:crosses val="autoZero"/>
        <c:auto val="1"/>
        <c:lblAlgn val="ctr"/>
        <c:lblOffset val="100"/>
        <c:noMultiLvlLbl val="0"/>
      </c:catAx>
      <c:valAx>
        <c:axId val="119502427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0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GASTOS REALES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2541107641812034"/>
          <c:y val="0.18086085150571132"/>
          <c:w val="0.63187214271251824"/>
          <c:h val="0.73886915887850468"/>
        </c:manualLayout>
      </c:layout>
      <c:doughnutChart>
        <c:varyColors val="1"/>
        <c:ser>
          <c:idx val="1"/>
          <c:order val="0"/>
          <c:tx>
            <c:strRef>
              <c:f>Diciembre!$H$3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EB-4E9A-99DB-12C0F48B40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EB-4E9A-99DB-12C0F48B40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EB-4E9A-99DB-12C0F48B40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EB-4E9A-99DB-12C0F48B40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EB-4E9A-99DB-12C0F48B40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Diciembre!$F$5:$F$9</c:f>
              <c:strCache>
                <c:ptCount val="5"/>
                <c:pt idx="0">
                  <c:v>Facturas</c:v>
                </c:pt>
                <c:pt idx="1">
                  <c:v>Gastos</c:v>
                </c:pt>
                <c:pt idx="2">
                  <c:v>Créditos</c:v>
                </c:pt>
                <c:pt idx="3">
                  <c:v>Ahorros</c:v>
                </c:pt>
                <c:pt idx="4">
                  <c:v>Inversiones</c:v>
                </c:pt>
              </c:strCache>
            </c:strRef>
          </c:cat>
          <c:val>
            <c:numRef>
              <c:f>Diciembre!$H$5:$H$9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EB-4E9A-99DB-12C0F48B401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126999</xdr:colOff>
      <xdr:row>4</xdr:row>
      <xdr:rowOff>16932</xdr:rowOff>
    </xdr:from>
    <xdr:to>
      <xdr:col>3</xdr:col>
      <xdr:colOff>1051332</xdr:colOff>
      <xdr:row>13</xdr:row>
      <xdr:rowOff>59262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A4D7EC-8794-4F0E-AFF6-BFFA31876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16934</xdr:colOff>
      <xdr:row>13</xdr:row>
      <xdr:rowOff>76196</xdr:rowOff>
    </xdr:from>
    <xdr:to>
      <xdr:col>3</xdr:col>
      <xdr:colOff>1041401</xdr:colOff>
      <xdr:row>21</xdr:row>
      <xdr:rowOff>129796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59A84D-CA29-4A58-8567-855A252B4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</xdr:row>
      <xdr:rowOff>8466</xdr:rowOff>
    </xdr:from>
    <xdr:to>
      <xdr:col>4</xdr:col>
      <xdr:colOff>16934</xdr:colOff>
      <xdr:row>22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829DCA5-336E-6E70-8339-CF01A8519C1A}"/>
            </a:ext>
          </a:extLst>
        </xdr:cNvPr>
        <xdr:cNvSpPr/>
      </xdr:nvSpPr>
      <xdr:spPr>
        <a:xfrm>
          <a:off x="127000" y="524933"/>
          <a:ext cx="3191934" cy="3310467"/>
        </a:xfrm>
        <a:prstGeom prst="rect">
          <a:avLst/>
        </a:prstGeom>
        <a:noFill/>
        <a:ln w="9525"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C704D0-40B0-96DD-4514-526B3D8DC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85A0A0-FA6C-4B9C-A9C1-9A7C505BE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D12DF2-F805-4941-85A0-9CACCF1A2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84C44D-C60E-4802-A17E-E9C3904AF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09E49E-97DD-4545-816C-5DBC0F9EA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CDDBF7-A4AD-4282-A834-4389D4ED1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3ACA8D-1CA8-4085-9E0E-D3552810B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1CB7A7-33CE-434C-BA83-02E4A7D88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BD3D9E-740E-4236-A258-45515C108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A9059D-C313-44E9-886B-5C55FE00C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191BF0-2A45-4D33-AF3A-F9CE0FA41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50C96A-59E4-41DC-82F2-9A795C677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1704E3-B4DA-43C5-BB5F-7E2AC3FB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E80C8E-3DEA-4D14-8C7F-8431E9293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14B240-521A-4949-A894-10D9097CB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3A1195-EA73-4476-8D6F-ADCD2EF08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982B1A-BE76-4C62-9F1D-6404E4B2A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0A0854-3B28-4BB3-B30B-B582682A1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B1DAC0-021D-4D1F-83C1-2F4192BF8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0EF283-FB53-4583-AFE9-282480DCC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9D835-66AA-4356-8847-23682FB80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F967F1-7557-4384-94B4-78668880D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101597</xdr:colOff>
      <xdr:row>1</xdr:row>
      <xdr:rowOff>1</xdr:rowOff>
    </xdr:from>
    <xdr:to>
      <xdr:col>13</xdr:col>
      <xdr:colOff>1329264</xdr:colOff>
      <xdr:row>11</xdr:row>
      <xdr:rowOff>4068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26F232-6894-4A92-8DB9-E846F4E64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1413931</xdr:colOff>
      <xdr:row>1</xdr:row>
      <xdr:rowOff>0</xdr:rowOff>
    </xdr:from>
    <xdr:to>
      <xdr:col>15</xdr:col>
      <xdr:colOff>1032934</xdr:colOff>
      <xdr:row>11</xdr:row>
      <xdr:rowOff>4067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57BC5C-008E-4AA0-9586-86AFF1CF4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A2711A-946C-47E9-801B-4E8685A3231E}" name="Tabla_Gastos3" displayName="Tabla_Gastos3" ref="R5:U43" totalsRowShown="0" headerRowDxfId="228" dataDxfId="227">
  <autoFilter ref="R5:U43" xr:uid="{17A2711A-946C-47E9-801B-4E8685A3231E}"/>
  <tableColumns count="4">
    <tableColumn id="1" xr3:uid="{20B8F49D-E220-459F-BF98-9AAEF4D29EBB}" name="FECHA" dataDxfId="226"/>
    <tableColumn id="4" xr3:uid="{83B69835-ECBD-4FE4-80F8-E31CE7EF294A}" name="CATEGORIA" dataDxfId="225"/>
    <tableColumn id="3" xr3:uid="{321BF144-8070-4654-861D-68247BA179A5}" name="DESCRIPCIÓN" dataDxfId="224"/>
    <tableColumn id="2" xr3:uid="{B8BD62AA-89D8-4651-99F4-912591A8C2AE}" name="MONTO" dataDxfId="223" dataCellStyle="Millares"/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2900CC-1F7A-468F-8A92-A82903D65A2B}" name="Tabla_Gastos36" displayName="Tabla_Gastos36" ref="R5:U43" totalsRowShown="0" headerRowDxfId="222" dataDxfId="221">
  <autoFilter ref="R5:U43" xr:uid="{17A2711A-946C-47E9-801B-4E8685A3231E}"/>
  <tableColumns count="4">
    <tableColumn id="1" xr3:uid="{F8D4010B-D680-4C87-9050-F3FF7038C022}" name="FECHA" dataDxfId="220"/>
    <tableColumn id="4" xr3:uid="{27B82C3D-6260-4789-B543-F2D1100A5975}" name="CATEGORIA" dataDxfId="219"/>
    <tableColumn id="3" xr3:uid="{835006B3-6584-4EEA-9BAE-90FBED5DD9F5}" name="DESCRIPCIÓN" dataDxfId="218"/>
    <tableColumn id="2" xr3:uid="{9F89335D-5BEC-4D1A-A886-1092F43A501A}" name="MONTO" dataDxfId="217" dataCellStyle="Millares"/>
  </tableColumns>
  <tableStyleInfo name="TableStyleLight11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BE6DCA-B67F-419E-A581-11F30AD3F1CD}" name="Tabla_Gastos367" displayName="Tabla_Gastos367" ref="R5:U43" totalsRowShown="0" headerRowDxfId="216" dataDxfId="215">
  <autoFilter ref="R5:U43" xr:uid="{17A2711A-946C-47E9-801B-4E8685A3231E}"/>
  <tableColumns count="4">
    <tableColumn id="1" xr3:uid="{C0F7CE33-33C9-4552-8A66-C6E0F8397EA1}" name="FECHA" dataDxfId="214"/>
    <tableColumn id="4" xr3:uid="{43F16AC1-DE9A-4574-837F-0CD3DA24972A}" name="CATEGORIA" dataDxfId="213"/>
    <tableColumn id="3" xr3:uid="{6E3A7DD8-057D-429C-9B79-19002127C513}" name="DESCRIPCIÓN" dataDxfId="212"/>
    <tableColumn id="2" xr3:uid="{BB4CDB32-942E-4D5B-BF3D-C46EC9F64C92}" name="MONTO" dataDxfId="211" dataCellStyle="Millares"/>
  </tableColumns>
  <tableStyleInfo name="TableStyleLight11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53F66E-649E-48D7-90C6-9DAB1BBDDEA8}" name="Tabla_Gastos3678" displayName="Tabla_Gastos3678" ref="R5:U43" totalsRowShown="0" headerRowDxfId="210" dataDxfId="209">
  <autoFilter ref="R5:U43" xr:uid="{17A2711A-946C-47E9-801B-4E8685A3231E}"/>
  <tableColumns count="4">
    <tableColumn id="1" xr3:uid="{741184FF-6055-4F59-BA8B-C77CCA7E574C}" name="FECHA" dataDxfId="208"/>
    <tableColumn id="4" xr3:uid="{7A6C6D58-D2B2-4A4B-AF96-31076A92C945}" name="CATEGORIA" dataDxfId="207"/>
    <tableColumn id="3" xr3:uid="{33B67DB4-FD91-47FA-85CA-B788DCB797E8}" name="DESCRIPCIÓN" dataDxfId="206"/>
    <tableColumn id="2" xr3:uid="{EE7EA06E-4A24-4306-B045-E75A62B7C89C}" name="MONTO" dataDxfId="205" dataCellStyle="Millares"/>
  </tableColumns>
  <tableStyleInfo name="TableStyleLight11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5ED2B3-91BB-4F67-A696-53797A500334}" name="Tabla_Gastos36789" displayName="Tabla_Gastos36789" ref="R5:U43" totalsRowShown="0" headerRowDxfId="204" dataDxfId="203">
  <autoFilter ref="R5:U43" xr:uid="{17A2711A-946C-47E9-801B-4E8685A3231E}"/>
  <tableColumns count="4">
    <tableColumn id="1" xr3:uid="{4F7259F9-8ADE-4A1E-B8C8-18EE833ACA5F}" name="FECHA" dataDxfId="202"/>
    <tableColumn id="4" xr3:uid="{45FD7FDD-6529-4975-BCA6-284AD53880BC}" name="CATEGORIA" dataDxfId="201"/>
    <tableColumn id="3" xr3:uid="{2EA02D9A-749B-45A6-BD35-3F643DF7BE1A}" name="DESCRIPCIÓN" dataDxfId="200"/>
    <tableColumn id="2" xr3:uid="{733D5FDE-D823-42E0-86B2-0622EC8C4E84}" name="MONTO" dataDxfId="199" dataCellStyle="Millares"/>
  </tableColumns>
  <tableStyleInfo name="TableStyleLight11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F39B04-C3E6-4F5F-9A70-16C6E8B74E09}" name="Tabla_Gastos3678910" displayName="Tabla_Gastos3678910" ref="R5:U43" totalsRowShown="0" headerRowDxfId="198" dataDxfId="197">
  <autoFilter ref="R5:U43" xr:uid="{17A2711A-946C-47E9-801B-4E8685A3231E}"/>
  <tableColumns count="4">
    <tableColumn id="1" xr3:uid="{B0678A92-11D6-4A96-A39A-126D8F4F8899}" name="FECHA" dataDxfId="196"/>
    <tableColumn id="4" xr3:uid="{B79EF868-B8E5-4A13-B58E-40D733CA8D7F}" name="CATEGORIA" dataDxfId="195"/>
    <tableColumn id="3" xr3:uid="{C29D0E15-5E4E-4006-9C91-7C2C2729FDEB}" name="DESCRIPCIÓN" dataDxfId="194"/>
    <tableColumn id="2" xr3:uid="{EEF0A2D5-4F91-422A-BB4F-490F0CE9CE58}" name="MONTO" dataDxfId="193" dataCellStyle="Millares"/>
  </tableColumns>
  <tableStyleInfo name="TableStyleLight11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E00481-8E34-4350-8FC4-76B27591DC19}" name="Tabla_Gastos367891011" displayName="Tabla_Gastos367891011" ref="R5:U43" totalsRowShown="0" headerRowDxfId="192" dataDxfId="191">
  <autoFilter ref="R5:U43" xr:uid="{17A2711A-946C-47E9-801B-4E8685A3231E}"/>
  <tableColumns count="4">
    <tableColumn id="1" xr3:uid="{1929A895-DE1D-40C2-80C4-893FB128E287}" name="FECHA" dataDxfId="190"/>
    <tableColumn id="4" xr3:uid="{C2A04054-22F2-43CC-B701-7D1021829957}" name="CATEGORIA" dataDxfId="189"/>
    <tableColumn id="3" xr3:uid="{191990A8-EFB9-4A75-BC02-682DFE7826CF}" name="DESCRIPCIÓN" dataDxfId="188"/>
    <tableColumn id="2" xr3:uid="{5911804F-0B3F-49E1-B53B-F0D552C8F1F0}" name="MONTO" dataDxfId="187" dataCellStyle="Millares"/>
  </tableColumns>
  <tableStyleInfo name="TableStyleLight11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F86436-8CA7-473C-B0F8-EDF39CF67F11}" name="Tabla_Gastos36789101112" displayName="Tabla_Gastos36789101112" ref="R5:U43" totalsRowShown="0" headerRowDxfId="186" dataDxfId="185">
  <autoFilter ref="R5:U43" xr:uid="{17A2711A-946C-47E9-801B-4E8685A3231E}"/>
  <tableColumns count="4">
    <tableColumn id="1" xr3:uid="{FE960994-88C2-49A0-A5B0-BA9C0FAAF657}" name="FECHA" dataDxfId="184"/>
    <tableColumn id="4" xr3:uid="{2EE7E5CE-4193-4EFD-B804-E1BABC7AD361}" name="CATEGORIA" dataDxfId="183"/>
    <tableColumn id="3" xr3:uid="{CF4BFF3A-A978-4ACC-AC18-537B70051CAD}" name="DESCRIPCIÓN" dataDxfId="182"/>
    <tableColumn id="2" xr3:uid="{ADBE10E1-0A47-466B-AB1B-29E5605476B5}" name="MONTO" dataDxfId="181" dataCellStyle="Millares"/>
  </tableColumns>
  <tableStyleInfo name="TableStyleLight11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11C78B3-FCAC-4488-ABC7-DCAD72E4B31D}" name="Tabla_Gastos3678910111213" displayName="Tabla_Gastos3678910111213" ref="R5:U43" totalsRowShown="0" headerRowDxfId="180" dataDxfId="179">
  <autoFilter ref="R5:U43" xr:uid="{17A2711A-946C-47E9-801B-4E8685A3231E}"/>
  <tableColumns count="4">
    <tableColumn id="1" xr3:uid="{33184DDB-6346-4DC8-844E-997BBCAD6378}" name="FECHA" dataDxfId="178"/>
    <tableColumn id="4" xr3:uid="{72AF2DC3-6319-439A-A00D-55F249D8DE70}" name="CATEGORIA" dataDxfId="177"/>
    <tableColumn id="3" xr3:uid="{868F5B95-1375-4BF6-A6A0-F924D61EF331}" name="DESCRIPCIÓN" dataDxfId="176"/>
    <tableColumn id="2" xr3:uid="{EF88DE26-0A3E-4C63-8432-60E5F557EAA5}" name="MONTO" dataDxfId="175" dataCellStyle="Millares"/>
  </tableColumns>
  <tableStyleInfo name="TableStyleLight11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16233E-6B2A-4F15-94B9-B791D436A23C}" name="Tabla_Gastos367891011121314" displayName="Tabla_Gastos367891011121314" ref="R5:U43" totalsRowShown="0" headerRowDxfId="174" dataDxfId="173">
  <autoFilter ref="R5:U43" xr:uid="{17A2711A-946C-47E9-801B-4E8685A3231E}"/>
  <tableColumns count="4">
    <tableColumn id="1" xr3:uid="{39D79FDD-DEDE-44DD-8390-6744DC4EB256}" name="FECHA" dataDxfId="172"/>
    <tableColumn id="4" xr3:uid="{6F907553-B2F2-4D3B-A902-7959666F2482}" name="CATEGORIA" dataDxfId="171"/>
    <tableColumn id="3" xr3:uid="{898BE5B8-020A-4DC4-A759-940984102C46}" name="DESCRIPCIÓN" dataDxfId="170"/>
    <tableColumn id="2" xr3:uid="{DEE324F1-93CC-4C0D-B76B-8365C3D7971E}" name="MONTO" dataDxfId="169" dataCellStyle="Millares"/>
  </tableColumns>
  <tableStyleInfo name="TableStyleLight11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4494092-D932-4C5F-B0E3-895D127C6204}" name="Tabla_Gastos36789101112131415" displayName="Tabla_Gastos36789101112131415" ref="R5:U43" totalsRowShown="0" headerRowDxfId="168" dataDxfId="167">
  <autoFilter ref="R5:U43" xr:uid="{17A2711A-946C-47E9-801B-4E8685A3231E}"/>
  <tableColumns count="4">
    <tableColumn id="1" xr3:uid="{180AA877-A9DF-4418-A2DA-03BEED903DA9}" name="FECHA" dataDxfId="166"/>
    <tableColumn id="4" xr3:uid="{CE559200-14D5-4475-9699-D1FC30E4BD7C}" name="CATEGORIA" dataDxfId="165"/>
    <tableColumn id="3" xr3:uid="{F17A758A-64AF-4DF0-962A-3777D6E1AF55}" name="DESCRIPCIÓN" dataDxfId="164"/>
    <tableColumn id="2" xr3:uid="{66B34B56-2B74-4DAD-BCC6-1616A49F41E3}" name="MONTO" dataDxfId="163" dataCellStyle="Millares"/>
  </tableColumns>
  <tableStyleInfo name="TableStyleLight11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F3100E-5753-4DBB-9036-6D86D250BE92}" name="Tabla_Gastos3678910111213141516" displayName="Tabla_Gastos3678910111213141516" ref="R5:U43" totalsRowShown="0" headerRowDxfId="162" dataDxfId="161">
  <autoFilter ref="R5:U43" xr:uid="{17A2711A-946C-47E9-801B-4E8685A3231E}"/>
  <tableColumns count="4">
    <tableColumn id="1" xr3:uid="{655C2441-A5FF-4D81-9246-A898996342F0}" name="FECHA" dataDxfId="160"/>
    <tableColumn id="4" xr3:uid="{44700F7B-C604-4533-8865-FCF6A8FD799D}" name="CATEGORIA" dataDxfId="159"/>
    <tableColumn id="3" xr3:uid="{CFCB0D2A-6BD5-48B9-ABFB-5FD81791C4E6}" name="DESCRIPCIÓN" dataDxfId="158"/>
    <tableColumn id="2" xr3:uid="{AA646EBB-6432-471E-8C82-15DF421A393E}" name="MONTO" dataDxfId="157" dataCellStyle="Millares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Sector">
  <a:themeElements>
    <a:clrScheme name="Azul II">
      <a:dk1>
        <a:sysClr val="windowText" lastClr="C6C6C6"/>
      </a:dk1>
      <a:lt1>
        <a:sysClr val="window" lastClr="000000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Secto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o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2930-0F56-4087-8984-7E17EFC5D00A}">
  <sheetPr>
    <tabColor theme="5"/>
  </sheetPr>
  <dimension ref="B1:X39"/>
  <sheetViews>
    <sheetView showGridLines="0" showRowColHeaders="0" zoomScale="80" zoomScaleNormal="80" workbookViewId="0">
      <selection activeCell="L2" sqref="L2:L3"/>
    </sheetView>
  </sheetViews>
  <sheetFormatPr baseColWidth="10" defaultRowHeight="16.5" x14ac:dyDescent="0.3"/>
  <cols>
    <col min="1" max="1" width="1.75" customWidth="1"/>
    <col min="2" max="4" width="13.875" customWidth="1"/>
    <col min="5" max="5" width="0.5" customWidth="1"/>
    <col min="6" max="8" width="13.875" customWidth="1"/>
    <col min="9" max="9" width="0.5" customWidth="1"/>
    <col min="10" max="12" width="13.875" customWidth="1"/>
    <col min="13" max="13" width="0.5" customWidth="1"/>
    <col min="14" max="16" width="13.875" customWidth="1"/>
    <col min="17" max="17" width="0.5" customWidth="1"/>
    <col min="18" max="20" width="13.875" customWidth="1"/>
    <col min="21" max="21" width="0.5" customWidth="1"/>
    <col min="22" max="24" width="13.875" customWidth="1"/>
  </cols>
  <sheetData>
    <row r="1" spans="2:24" ht="6" customHeight="1" x14ac:dyDescent="0.3"/>
    <row r="2" spans="2:24" ht="13.9" customHeight="1" x14ac:dyDescent="0.3">
      <c r="B2" s="34" t="str">
        <f>"PRESUPUESTO ANUAL "&amp;L2</f>
        <v>PRESUPUESTO ANUAL 2023</v>
      </c>
      <c r="C2" s="34"/>
      <c r="D2" s="34"/>
      <c r="E2" s="34"/>
      <c r="F2" s="34"/>
      <c r="G2" s="34"/>
      <c r="H2" s="34"/>
      <c r="I2" s="38" t="s">
        <v>48</v>
      </c>
      <c r="J2" s="38"/>
      <c r="K2" s="38"/>
      <c r="L2" s="36">
        <v>2023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2:24" ht="14.45" customHeight="1" thickBot="1" x14ac:dyDescent="0.35">
      <c r="B3" s="35"/>
      <c r="C3" s="35"/>
      <c r="D3" s="35"/>
      <c r="E3" s="35"/>
      <c r="F3" s="35"/>
      <c r="G3" s="35"/>
      <c r="H3" s="35"/>
      <c r="I3" s="39"/>
      <c r="J3" s="39"/>
      <c r="K3" s="39"/>
      <c r="L3" s="37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2:24" ht="6" customHeight="1" x14ac:dyDescent="0.3"/>
    <row r="5" spans="2:24" ht="21.6" customHeight="1" x14ac:dyDescent="0.3">
      <c r="F5" s="33" t="s">
        <v>60</v>
      </c>
      <c r="G5" s="33"/>
      <c r="H5" s="33"/>
      <c r="J5" s="32" t="s">
        <v>91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2:24" ht="15" customHeight="1" x14ac:dyDescent="0.3">
      <c r="F6" s="3" t="s">
        <v>52</v>
      </c>
      <c r="G6" s="3" t="s">
        <v>1</v>
      </c>
      <c r="H6" s="3" t="s">
        <v>2</v>
      </c>
      <c r="J6" s="3" t="s">
        <v>75</v>
      </c>
      <c r="K6" s="3" t="s">
        <v>76</v>
      </c>
      <c r="L6" s="3" t="s">
        <v>77</v>
      </c>
      <c r="N6" s="3" t="s">
        <v>78</v>
      </c>
      <c r="O6" s="3" t="s">
        <v>79</v>
      </c>
      <c r="P6" s="3" t="s">
        <v>80</v>
      </c>
      <c r="R6" s="3" t="s">
        <v>81</v>
      </c>
      <c r="S6" s="3" t="s">
        <v>82</v>
      </c>
      <c r="T6" s="3" t="s">
        <v>83</v>
      </c>
      <c r="V6" s="3" t="s">
        <v>84</v>
      </c>
      <c r="W6" s="3" t="s">
        <v>85</v>
      </c>
      <c r="X6" s="3" t="s">
        <v>86</v>
      </c>
    </row>
    <row r="7" spans="2:24" x14ac:dyDescent="0.3">
      <c r="F7" s="20" t="s">
        <v>39</v>
      </c>
      <c r="G7" s="21">
        <f ca="1">OFFSET($B$38,0,MATCH($F7,$B$24:$X$24,0))</f>
        <v>10300</v>
      </c>
      <c r="H7" s="22">
        <f ca="1">OFFSET($B$38,0,MATCH($F7,$B$24:$X$24,0)+1)</f>
        <v>9270</v>
      </c>
      <c r="J7" s="21">
        <f ca="1">OFFSET($B$25,COLUMN(A1),MATCH($F7,$B$24:$X$24,0)+1)</f>
        <v>9270</v>
      </c>
      <c r="K7" s="21">
        <f t="shared" ref="K7:L7" ca="1" si="0">OFFSET($B$25,COLUMN(B1),MATCH($F7,$B$24:$X$24,0)+1)</f>
        <v>0</v>
      </c>
      <c r="L7" s="22">
        <f t="shared" ca="1" si="0"/>
        <v>0</v>
      </c>
      <c r="N7" s="21">
        <f ca="1">OFFSET($B$25,COLUMN(D1),MATCH($F7,$B$24:$X$24,0)+1)</f>
        <v>0</v>
      </c>
      <c r="O7" s="22">
        <f t="shared" ref="O7:P7" ca="1" si="1">OFFSET($B$25,COLUMN(E1),MATCH($F7,$B$24:$X$24,0)+1)</f>
        <v>0</v>
      </c>
      <c r="P7" s="22">
        <f t="shared" ca="1" si="1"/>
        <v>0</v>
      </c>
      <c r="R7" s="21">
        <f ca="1">OFFSET($B$25,COLUMN(G1),MATCH($F7,$B$24:$X$24,0)+1)</f>
        <v>0</v>
      </c>
      <c r="S7" s="22">
        <f t="shared" ref="S7:T7" ca="1" si="2">OFFSET($B$25,COLUMN(H1),MATCH($F7,$B$24:$X$24,0)+1)</f>
        <v>0</v>
      </c>
      <c r="T7" s="22">
        <f t="shared" ca="1" si="2"/>
        <v>0</v>
      </c>
      <c r="V7" s="21">
        <f ca="1">OFFSET($B$25,COLUMN(J1),MATCH($F7,$B$24:$X$24,0)+1)</f>
        <v>0</v>
      </c>
      <c r="W7" s="22">
        <f t="shared" ref="W7:X7" ca="1" si="3">OFFSET($B$25,COLUMN(K1),MATCH($F7,$B$24:$X$24,0)+1)</f>
        <v>0</v>
      </c>
      <c r="X7" s="22">
        <f t="shared" ca="1" si="3"/>
        <v>0</v>
      </c>
    </row>
    <row r="8" spans="2:24" x14ac:dyDescent="0.3">
      <c r="F8" s="23" t="s">
        <v>40</v>
      </c>
      <c r="G8" s="24">
        <f t="shared" ref="G8:G12" ca="1" si="4">OFFSET($B$38,0,MATCH($F8,$B$24:$X$24,0))</f>
        <v>1730</v>
      </c>
      <c r="H8" s="25">
        <f t="shared" ref="H8:H12" ca="1" si="5">OFFSET($B$38,0,MATCH($F8,$B$24:$X$24,0)+1)</f>
        <v>1685</v>
      </c>
      <c r="J8" s="26">
        <f t="shared" ref="J8:J12" ca="1" si="6">OFFSET($B$25,COLUMN(A2),MATCH($F8,$B$24:$X$24,0)+1)</f>
        <v>1685</v>
      </c>
      <c r="K8" s="26">
        <f t="shared" ref="K8:K12" ca="1" si="7">OFFSET($B$25,COLUMN(B2),MATCH($F8,$B$24:$X$24,0)+1)</f>
        <v>0</v>
      </c>
      <c r="L8" s="25">
        <f t="shared" ref="L8:L12" ca="1" si="8">OFFSET($B$25,COLUMN(C2),MATCH($F8,$B$24:$X$24,0)+1)</f>
        <v>0</v>
      </c>
      <c r="N8" s="25">
        <f t="shared" ref="N8:N12" ca="1" si="9">OFFSET($B$25,COLUMN(D2),MATCH($F8,$B$24:$X$24,0)+1)</f>
        <v>0</v>
      </c>
      <c r="O8" s="25">
        <f t="shared" ref="O8:O12" ca="1" si="10">OFFSET($B$25,COLUMN(E2),MATCH($F8,$B$24:$X$24,0)+1)</f>
        <v>0</v>
      </c>
      <c r="P8" s="25">
        <f t="shared" ref="P8:P12" ca="1" si="11">OFFSET($B$25,COLUMN(F2),MATCH($F8,$B$24:$X$24,0)+1)</f>
        <v>0</v>
      </c>
      <c r="R8" s="25">
        <f t="shared" ref="R8:R12" ca="1" si="12">OFFSET($B$25,COLUMN(G2),MATCH($F8,$B$24:$X$24,0)+1)</f>
        <v>0</v>
      </c>
      <c r="S8" s="25">
        <f t="shared" ref="S8:S12" ca="1" si="13">OFFSET($B$25,COLUMN(H2),MATCH($F8,$B$24:$X$24,0)+1)</f>
        <v>0</v>
      </c>
      <c r="T8" s="25">
        <f t="shared" ref="T8:T12" ca="1" si="14">OFFSET($B$25,COLUMN(I2),MATCH($F8,$B$24:$X$24,0)+1)</f>
        <v>0</v>
      </c>
      <c r="V8" s="25">
        <f t="shared" ref="V8:V12" ca="1" si="15">OFFSET($B$25,COLUMN(J2),MATCH($F8,$B$24:$X$24,0)+1)</f>
        <v>0</v>
      </c>
      <c r="W8" s="25">
        <f t="shared" ref="W8:W12" ca="1" si="16">OFFSET($B$25,COLUMN(K2),MATCH($F8,$B$24:$X$24,0)+1)</f>
        <v>0</v>
      </c>
      <c r="X8" s="25">
        <f t="shared" ref="X8:X12" ca="1" si="17">OFFSET($B$25,COLUMN(L2),MATCH($F8,$B$24:$X$24,0)+1)</f>
        <v>0</v>
      </c>
    </row>
    <row r="9" spans="2:24" x14ac:dyDescent="0.3">
      <c r="F9" s="23" t="s">
        <v>41</v>
      </c>
      <c r="G9" s="24">
        <f t="shared" ca="1" si="4"/>
        <v>1630</v>
      </c>
      <c r="H9" s="25">
        <f t="shared" ca="1" si="5"/>
        <v>1355</v>
      </c>
      <c r="J9" s="26">
        <f t="shared" ca="1" si="6"/>
        <v>1355</v>
      </c>
      <c r="K9" s="26">
        <f t="shared" ca="1" si="7"/>
        <v>0</v>
      </c>
      <c r="L9" s="25">
        <f t="shared" ca="1" si="8"/>
        <v>0</v>
      </c>
      <c r="N9" s="25">
        <f t="shared" ca="1" si="9"/>
        <v>0</v>
      </c>
      <c r="O9" s="25">
        <f t="shared" ca="1" si="10"/>
        <v>0</v>
      </c>
      <c r="P9" s="25">
        <f t="shared" ca="1" si="11"/>
        <v>0</v>
      </c>
      <c r="R9" s="25">
        <f t="shared" ca="1" si="12"/>
        <v>0</v>
      </c>
      <c r="S9" s="25">
        <f t="shared" ca="1" si="13"/>
        <v>0</v>
      </c>
      <c r="T9" s="25">
        <f t="shared" ca="1" si="14"/>
        <v>0</v>
      </c>
      <c r="V9" s="25">
        <f t="shared" ca="1" si="15"/>
        <v>0</v>
      </c>
      <c r="W9" s="25">
        <f t="shared" ca="1" si="16"/>
        <v>0</v>
      </c>
      <c r="X9" s="25">
        <f t="shared" ca="1" si="17"/>
        <v>0</v>
      </c>
    </row>
    <row r="10" spans="2:24" x14ac:dyDescent="0.3">
      <c r="F10" s="23" t="s">
        <v>74</v>
      </c>
      <c r="G10" s="24">
        <f t="shared" ca="1" si="4"/>
        <v>4200</v>
      </c>
      <c r="H10" s="25">
        <f t="shared" ca="1" si="5"/>
        <v>4100</v>
      </c>
      <c r="J10" s="26">
        <f t="shared" ca="1" si="6"/>
        <v>4100</v>
      </c>
      <c r="K10" s="26">
        <f t="shared" ca="1" si="7"/>
        <v>0</v>
      </c>
      <c r="L10" s="25">
        <f t="shared" ca="1" si="8"/>
        <v>0</v>
      </c>
      <c r="N10" s="25">
        <f t="shared" ca="1" si="9"/>
        <v>0</v>
      </c>
      <c r="O10" s="25">
        <f t="shared" ca="1" si="10"/>
        <v>0</v>
      </c>
      <c r="P10" s="25">
        <f t="shared" ca="1" si="11"/>
        <v>0</v>
      </c>
      <c r="R10" s="25">
        <f t="shared" ca="1" si="12"/>
        <v>0</v>
      </c>
      <c r="S10" s="25">
        <f t="shared" ca="1" si="13"/>
        <v>0</v>
      </c>
      <c r="T10" s="25">
        <f t="shared" ca="1" si="14"/>
        <v>0</v>
      </c>
      <c r="V10" s="25">
        <f t="shared" ca="1" si="15"/>
        <v>0</v>
      </c>
      <c r="W10" s="25">
        <f t="shared" ca="1" si="16"/>
        <v>0</v>
      </c>
      <c r="X10" s="25">
        <f t="shared" ca="1" si="17"/>
        <v>0</v>
      </c>
    </row>
    <row r="11" spans="2:24" x14ac:dyDescent="0.3">
      <c r="F11" s="23" t="s">
        <v>42</v>
      </c>
      <c r="G11" s="24">
        <f t="shared" ca="1" si="4"/>
        <v>1175</v>
      </c>
      <c r="H11" s="25">
        <f t="shared" ca="1" si="5"/>
        <v>1075</v>
      </c>
      <c r="J11" s="26">
        <f t="shared" ca="1" si="6"/>
        <v>1075</v>
      </c>
      <c r="K11" s="26">
        <f t="shared" ca="1" si="7"/>
        <v>0</v>
      </c>
      <c r="L11" s="25">
        <f t="shared" ca="1" si="8"/>
        <v>0</v>
      </c>
      <c r="N11" s="25">
        <f t="shared" ca="1" si="9"/>
        <v>0</v>
      </c>
      <c r="O11" s="25">
        <f t="shared" ca="1" si="10"/>
        <v>0</v>
      </c>
      <c r="P11" s="25">
        <f t="shared" ca="1" si="11"/>
        <v>0</v>
      </c>
      <c r="R11" s="25">
        <f t="shared" ca="1" si="12"/>
        <v>0</v>
      </c>
      <c r="S11" s="25">
        <f t="shared" ca="1" si="13"/>
        <v>0</v>
      </c>
      <c r="T11" s="25">
        <f t="shared" ca="1" si="14"/>
        <v>0</v>
      </c>
      <c r="V11" s="25">
        <f t="shared" ca="1" si="15"/>
        <v>0</v>
      </c>
      <c r="W11" s="25">
        <f t="shared" ca="1" si="16"/>
        <v>0</v>
      </c>
      <c r="X11" s="25">
        <f t="shared" ca="1" si="17"/>
        <v>0</v>
      </c>
    </row>
    <row r="12" spans="2:24" x14ac:dyDescent="0.3">
      <c r="F12" s="23" t="s">
        <v>43</v>
      </c>
      <c r="G12" s="24">
        <f t="shared" ca="1" si="4"/>
        <v>500</v>
      </c>
      <c r="H12" s="25">
        <f t="shared" ca="1" si="5"/>
        <v>300</v>
      </c>
      <c r="J12" s="26">
        <f t="shared" ca="1" si="6"/>
        <v>300</v>
      </c>
      <c r="K12" s="26">
        <f t="shared" ca="1" si="7"/>
        <v>0</v>
      </c>
      <c r="L12" s="25">
        <f t="shared" ca="1" si="8"/>
        <v>0</v>
      </c>
      <c r="N12" s="25">
        <f t="shared" ca="1" si="9"/>
        <v>0</v>
      </c>
      <c r="O12" s="25">
        <f t="shared" ca="1" si="10"/>
        <v>0</v>
      </c>
      <c r="P12" s="25">
        <f t="shared" ca="1" si="11"/>
        <v>0</v>
      </c>
      <c r="R12" s="25">
        <f t="shared" ca="1" si="12"/>
        <v>0</v>
      </c>
      <c r="S12" s="25">
        <f t="shared" ca="1" si="13"/>
        <v>0</v>
      </c>
      <c r="T12" s="25">
        <f t="shared" ca="1" si="14"/>
        <v>0</v>
      </c>
      <c r="V12" s="25">
        <f t="shared" ca="1" si="15"/>
        <v>0</v>
      </c>
      <c r="W12" s="25">
        <f t="shared" ca="1" si="16"/>
        <v>0</v>
      </c>
      <c r="X12" s="25">
        <f t="shared" ca="1" si="17"/>
        <v>0</v>
      </c>
    </row>
    <row r="13" spans="2:24" ht="17.25" thickBot="1" x14ac:dyDescent="0.35">
      <c r="F13" s="3" t="s">
        <v>44</v>
      </c>
      <c r="G13" s="27">
        <f ca="1">G7-SUM(G8:G12)</f>
        <v>1065</v>
      </c>
      <c r="H13" s="27">
        <f ca="1">H7-SUM(H8:H12)</f>
        <v>755</v>
      </c>
      <c r="J13" s="27">
        <f ca="1">J7-SUM(J8:J12)</f>
        <v>755</v>
      </c>
      <c r="K13" s="27">
        <f ca="1">K7-SUM(K8:K12)</f>
        <v>0</v>
      </c>
      <c r="L13" s="27">
        <f ca="1">L7-SUM(L8:L12)</f>
        <v>0</v>
      </c>
      <c r="N13" s="27">
        <f t="shared" ref="N13:P13" ca="1" si="18">N7-SUM(N8:N12)</f>
        <v>0</v>
      </c>
      <c r="O13" s="27">
        <f t="shared" ca="1" si="18"/>
        <v>0</v>
      </c>
      <c r="P13" s="27">
        <f t="shared" ca="1" si="18"/>
        <v>0</v>
      </c>
      <c r="R13" s="27">
        <f t="shared" ref="R13" ca="1" si="19">R7-SUM(R8:R12)</f>
        <v>0</v>
      </c>
      <c r="S13" s="27">
        <f t="shared" ref="S13" ca="1" si="20">S7-SUM(S8:S12)</f>
        <v>0</v>
      </c>
      <c r="T13" s="27">
        <f t="shared" ref="T13" ca="1" si="21">T7-SUM(T8:T12)</f>
        <v>0</v>
      </c>
      <c r="V13" s="27">
        <f t="shared" ref="V13" ca="1" si="22">V7-SUM(V8:V12)</f>
        <v>0</v>
      </c>
      <c r="W13" s="27">
        <f t="shared" ref="W13" ca="1" si="23">W7-SUM(W8:W12)</f>
        <v>0</v>
      </c>
      <c r="X13" s="27">
        <f t="shared" ref="X13" ca="1" si="24">X7-SUM(X8:X12)</f>
        <v>0</v>
      </c>
    </row>
    <row r="14" spans="2:24" x14ac:dyDescent="0.3">
      <c r="F14" s="31" t="s">
        <v>57</v>
      </c>
      <c r="G14" s="31"/>
      <c r="H14" s="28">
        <f ca="1">G13-H13</f>
        <v>310</v>
      </c>
      <c r="J14" s="31" t="s">
        <v>94</v>
      </c>
      <c r="K14" s="31"/>
      <c r="L14" s="28">
        <f ca="1">SUM(J13:L13)</f>
        <v>755</v>
      </c>
      <c r="N14" s="31" t="s">
        <v>95</v>
      </c>
      <c r="O14" s="31"/>
      <c r="P14" s="28">
        <f ca="1">SUM(N13:P13)</f>
        <v>0</v>
      </c>
      <c r="R14" s="31" t="s">
        <v>96</v>
      </c>
      <c r="S14" s="31"/>
      <c r="T14" s="28">
        <f ca="1">SUM(R13:T13)</f>
        <v>0</v>
      </c>
      <c r="V14" s="31" t="s">
        <v>97</v>
      </c>
      <c r="W14" s="31"/>
      <c r="X14" s="28">
        <f ca="1">SUM(V13:X13)</f>
        <v>0</v>
      </c>
    </row>
    <row r="15" spans="2:24" ht="6" customHeight="1" x14ac:dyDescent="0.3"/>
    <row r="16" spans="2:24" ht="21.6" customHeight="1" x14ac:dyDescent="0.3">
      <c r="F16" s="33" t="s">
        <v>46</v>
      </c>
      <c r="G16" s="33"/>
      <c r="H16" s="33"/>
      <c r="J16" s="32" t="s">
        <v>92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2:24" x14ac:dyDescent="0.3">
      <c r="F17" s="3" t="s">
        <v>52</v>
      </c>
      <c r="G17" s="3" t="s">
        <v>1</v>
      </c>
      <c r="H17" s="3" t="s">
        <v>2</v>
      </c>
      <c r="J17" s="3" t="s">
        <v>75</v>
      </c>
      <c r="K17" s="3" t="s">
        <v>76</v>
      </c>
      <c r="L17" s="3" t="s">
        <v>77</v>
      </c>
      <c r="N17" s="3" t="s">
        <v>78</v>
      </c>
      <c r="O17" s="3" t="s">
        <v>79</v>
      </c>
      <c r="P17" s="3" t="s">
        <v>80</v>
      </c>
      <c r="R17" s="3" t="s">
        <v>81</v>
      </c>
      <c r="S17" s="3" t="s">
        <v>82</v>
      </c>
      <c r="T17" s="3" t="s">
        <v>83</v>
      </c>
      <c r="V17" s="3" t="s">
        <v>84</v>
      </c>
      <c r="W17" s="3" t="s">
        <v>85</v>
      </c>
      <c r="X17" s="3" t="s">
        <v>86</v>
      </c>
    </row>
    <row r="18" spans="2:24" x14ac:dyDescent="0.3">
      <c r="F18" s="20" t="s">
        <v>39</v>
      </c>
      <c r="G18" s="21">
        <f t="shared" ref="G18:G20" ca="1" si="25">OFFSET($B$38,0,MATCH($F18,$B$24:$X$24,0))</f>
        <v>10300</v>
      </c>
      <c r="H18" s="22">
        <f t="shared" ref="H18:H20" ca="1" si="26">OFFSET($B$38,0,MATCH($F18,$B$24:$X$24,0)+1)</f>
        <v>9270</v>
      </c>
      <c r="J18" s="21">
        <f ca="1">OFFSET($B$25,COLUMN(A12),MATCH($F18,$B$24:$X$24,0)+1)</f>
        <v>9270</v>
      </c>
      <c r="K18" s="21">
        <f t="shared" ref="K18:K20" ca="1" si="27">OFFSET($B$25,COLUMN(B12),MATCH($F18,$B$24:$X$24,0)+1)</f>
        <v>0</v>
      </c>
      <c r="L18" s="22">
        <f t="shared" ref="L18:L20" ca="1" si="28">OFFSET($B$25,COLUMN(C12),MATCH($F18,$B$24:$X$24,0)+1)</f>
        <v>0</v>
      </c>
      <c r="M18" s="29"/>
      <c r="N18" s="22">
        <f ca="1">OFFSET($B$25,COLUMN(D12),MATCH($F18,$B$24:$X$24,0)+1)</f>
        <v>0</v>
      </c>
      <c r="O18" s="22">
        <f t="shared" ref="O18:O20" ca="1" si="29">OFFSET($B$25,COLUMN(E12),MATCH($F18,$B$24:$X$24,0)+1)</f>
        <v>0</v>
      </c>
      <c r="P18" s="22">
        <f t="shared" ref="P18:P20" ca="1" si="30">OFFSET($B$25,COLUMN(F12),MATCH($F18,$B$24:$X$24,0)+1)</f>
        <v>0</v>
      </c>
      <c r="Q18" s="29"/>
      <c r="R18" s="22">
        <f ca="1">OFFSET($B$25,COLUMN(G12),MATCH($F18,$B$24:$X$24,0)+1)</f>
        <v>0</v>
      </c>
      <c r="S18" s="22">
        <f t="shared" ref="S18:S20" ca="1" si="31">OFFSET($B$25,COLUMN(H12),MATCH($F18,$B$24:$X$24,0)+1)</f>
        <v>0</v>
      </c>
      <c r="T18" s="22">
        <f t="shared" ref="T18:T20" ca="1" si="32">OFFSET($B$25,COLUMN(I12),MATCH($F18,$B$24:$X$24,0)+1)</f>
        <v>0</v>
      </c>
      <c r="U18" s="29"/>
      <c r="V18" s="22">
        <f ca="1">OFFSET($B$25,COLUMN(J12),MATCH($F18,$B$24:$X$24,0)+1)</f>
        <v>0</v>
      </c>
      <c r="W18" s="22">
        <f t="shared" ref="W18:W20" ca="1" si="33">OFFSET($B$25,COLUMN(K12),MATCH($F18,$B$24:$X$24,0)+1)</f>
        <v>0</v>
      </c>
      <c r="X18" s="22">
        <f t="shared" ref="X18:X20" ca="1" si="34">OFFSET($B$25,COLUMN(L12),MATCH($F18,$B$24:$X$24,0)+1)</f>
        <v>0</v>
      </c>
    </row>
    <row r="19" spans="2:24" x14ac:dyDescent="0.3">
      <c r="F19" s="23" t="s">
        <v>40</v>
      </c>
      <c r="G19" s="24">
        <f t="shared" ca="1" si="25"/>
        <v>1730</v>
      </c>
      <c r="H19" s="25">
        <f t="shared" ca="1" si="26"/>
        <v>1685</v>
      </c>
      <c r="J19" s="24">
        <f t="shared" ref="J19:J20" ca="1" si="35">OFFSET($B$25,COLUMN(A13),MATCH($F19,$B$24:$X$24,0)+1)</f>
        <v>1685</v>
      </c>
      <c r="K19" s="24">
        <f t="shared" ca="1" si="27"/>
        <v>0</v>
      </c>
      <c r="L19" s="25">
        <f t="shared" ca="1" si="28"/>
        <v>0</v>
      </c>
      <c r="M19" s="29"/>
      <c r="N19" s="25">
        <f t="shared" ref="N19:N20" ca="1" si="36">OFFSET($B$25,COLUMN(D13),MATCH($F19,$B$24:$X$24,0)+1)</f>
        <v>0</v>
      </c>
      <c r="O19" s="25">
        <f t="shared" ca="1" si="29"/>
        <v>0</v>
      </c>
      <c r="P19" s="25">
        <f t="shared" ca="1" si="30"/>
        <v>0</v>
      </c>
      <c r="Q19" s="29"/>
      <c r="R19" s="25">
        <f t="shared" ref="R19:R20" ca="1" si="37">OFFSET($B$25,COLUMN(G13),MATCH($F19,$B$24:$X$24,0)+1)</f>
        <v>0</v>
      </c>
      <c r="S19" s="25">
        <f t="shared" ca="1" si="31"/>
        <v>0</v>
      </c>
      <c r="T19" s="25">
        <f t="shared" ca="1" si="32"/>
        <v>0</v>
      </c>
      <c r="U19" s="29"/>
      <c r="V19" s="25">
        <f t="shared" ref="V19:V20" ca="1" si="38">OFFSET($B$25,COLUMN(J13),MATCH($F19,$B$24:$X$24,0)+1)</f>
        <v>0</v>
      </c>
      <c r="W19" s="25">
        <f t="shared" ca="1" si="33"/>
        <v>0</v>
      </c>
      <c r="X19" s="25">
        <f t="shared" ca="1" si="34"/>
        <v>0</v>
      </c>
    </row>
    <row r="20" spans="2:24" x14ac:dyDescent="0.3">
      <c r="F20" s="23" t="s">
        <v>41</v>
      </c>
      <c r="G20" s="24">
        <f t="shared" ca="1" si="25"/>
        <v>1630</v>
      </c>
      <c r="H20" s="25">
        <f t="shared" ca="1" si="26"/>
        <v>1355</v>
      </c>
      <c r="J20" s="24">
        <f t="shared" ca="1" si="35"/>
        <v>1355</v>
      </c>
      <c r="K20" s="24">
        <f t="shared" ca="1" si="27"/>
        <v>0</v>
      </c>
      <c r="L20" s="25">
        <f t="shared" ca="1" si="28"/>
        <v>0</v>
      </c>
      <c r="M20" s="29"/>
      <c r="N20" s="25">
        <f t="shared" ca="1" si="36"/>
        <v>0</v>
      </c>
      <c r="O20" s="25">
        <f t="shared" ca="1" si="29"/>
        <v>0</v>
      </c>
      <c r="P20" s="25">
        <f t="shared" ca="1" si="30"/>
        <v>0</v>
      </c>
      <c r="Q20" s="29"/>
      <c r="R20" s="25">
        <f t="shared" ca="1" si="37"/>
        <v>0</v>
      </c>
      <c r="S20" s="25">
        <f t="shared" ca="1" si="31"/>
        <v>0</v>
      </c>
      <c r="T20" s="25">
        <f t="shared" ca="1" si="32"/>
        <v>0</v>
      </c>
      <c r="U20" s="29"/>
      <c r="V20" s="25">
        <f t="shared" ca="1" si="38"/>
        <v>0</v>
      </c>
      <c r="W20" s="25">
        <f t="shared" ca="1" si="33"/>
        <v>0</v>
      </c>
      <c r="X20" s="25">
        <f t="shared" ca="1" si="34"/>
        <v>0</v>
      </c>
    </row>
    <row r="21" spans="2:24" ht="17.25" thickBot="1" x14ac:dyDescent="0.35">
      <c r="F21" s="3" t="s">
        <v>47</v>
      </c>
      <c r="G21" s="27">
        <f ca="1">G18-G19-G20</f>
        <v>6940</v>
      </c>
      <c r="H21" s="27">
        <f ca="1">H18-H19-H20</f>
        <v>6230</v>
      </c>
      <c r="J21" s="27">
        <f t="shared" ref="J21:L21" ca="1" si="39">J18-J19-J20</f>
        <v>6230</v>
      </c>
      <c r="K21" s="27">
        <f t="shared" ca="1" si="39"/>
        <v>0</v>
      </c>
      <c r="L21" s="27">
        <f t="shared" ca="1" si="39"/>
        <v>0</v>
      </c>
      <c r="N21" s="27">
        <f t="shared" ref="N21" ca="1" si="40">N18-N19-N20</f>
        <v>0</v>
      </c>
      <c r="O21" s="27">
        <f t="shared" ref="O21" ca="1" si="41">O18-O19-O20</f>
        <v>0</v>
      </c>
      <c r="P21" s="27">
        <f t="shared" ref="P21" ca="1" si="42">P18-P19-P20</f>
        <v>0</v>
      </c>
      <c r="R21" s="27">
        <f t="shared" ref="R21" ca="1" si="43">R18-R19-R20</f>
        <v>0</v>
      </c>
      <c r="S21" s="27">
        <f t="shared" ref="S21" ca="1" si="44">S18-S19-S20</f>
        <v>0</v>
      </c>
      <c r="T21" s="27">
        <f t="shared" ref="T21" ca="1" si="45">T18-T19-T20</f>
        <v>0</v>
      </c>
      <c r="V21" s="27">
        <f t="shared" ref="V21" ca="1" si="46">V18-V19-V20</f>
        <v>0</v>
      </c>
      <c r="W21" s="27">
        <f t="shared" ref="W21" ca="1" si="47">W18-W19-W20</f>
        <v>0</v>
      </c>
      <c r="X21" s="27">
        <f t="shared" ref="X21" ca="1" si="48">X18-X19-X20</f>
        <v>0</v>
      </c>
    </row>
    <row r="22" spans="2:24" x14ac:dyDescent="0.3">
      <c r="F22" s="31" t="s">
        <v>57</v>
      </c>
      <c r="G22" s="31"/>
      <c r="H22" s="28">
        <f ca="1">G21-H21</f>
        <v>710</v>
      </c>
      <c r="J22" s="31" t="s">
        <v>87</v>
      </c>
      <c r="K22" s="31"/>
      <c r="L22" s="28">
        <f ca="1">SUM(J21:L21)</f>
        <v>6230</v>
      </c>
      <c r="N22" s="31" t="s">
        <v>88</v>
      </c>
      <c r="O22" s="31"/>
      <c r="P22" s="28">
        <f ca="1">SUM(N21:P21)</f>
        <v>0</v>
      </c>
      <c r="R22" s="31" t="s">
        <v>89</v>
      </c>
      <c r="S22" s="31"/>
      <c r="T22" s="28">
        <f ca="1">SUM(R21:T21)</f>
        <v>0</v>
      </c>
      <c r="V22" s="31" t="s">
        <v>90</v>
      </c>
      <c r="W22" s="31"/>
      <c r="X22" s="28">
        <f ca="1">SUM(V21:X21)</f>
        <v>0</v>
      </c>
    </row>
    <row r="23" spans="2:24" ht="6" customHeight="1" x14ac:dyDescent="0.3"/>
    <row r="24" spans="2:24" ht="21.6" customHeight="1" x14ac:dyDescent="0.3">
      <c r="B24" s="30" t="s">
        <v>0</v>
      </c>
      <c r="C24" s="30"/>
      <c r="D24" s="30"/>
      <c r="F24" s="30" t="s">
        <v>4</v>
      </c>
      <c r="G24" s="30"/>
      <c r="H24" s="30"/>
      <c r="J24" s="30" t="s">
        <v>19</v>
      </c>
      <c r="K24" s="30"/>
      <c r="L24" s="30"/>
      <c r="N24" s="30" t="s">
        <v>93</v>
      </c>
      <c r="O24" s="30"/>
      <c r="P24" s="30"/>
      <c r="R24" s="30" t="s">
        <v>28</v>
      </c>
      <c r="S24" s="30"/>
      <c r="T24" s="30"/>
      <c r="V24" s="30" t="s">
        <v>29</v>
      </c>
      <c r="W24" s="30"/>
      <c r="X24" s="30"/>
    </row>
    <row r="25" spans="2:24" x14ac:dyDescent="0.3">
      <c r="B25" s="3" t="s">
        <v>73</v>
      </c>
      <c r="C25" s="3" t="s">
        <v>1</v>
      </c>
      <c r="D25" s="3" t="s">
        <v>2</v>
      </c>
      <c r="F25" s="3" t="s">
        <v>73</v>
      </c>
      <c r="G25" s="3" t="s">
        <v>1</v>
      </c>
      <c r="H25" s="3" t="s">
        <v>2</v>
      </c>
      <c r="J25" s="3" t="s">
        <v>73</v>
      </c>
      <c r="K25" s="3" t="s">
        <v>1</v>
      </c>
      <c r="L25" s="3" t="s">
        <v>2</v>
      </c>
      <c r="N25" s="3" t="s">
        <v>73</v>
      </c>
      <c r="O25" s="3" t="s">
        <v>1</v>
      </c>
      <c r="P25" s="3" t="s">
        <v>2</v>
      </c>
      <c r="R25" s="3" t="s">
        <v>73</v>
      </c>
      <c r="S25" s="3" t="s">
        <v>1</v>
      </c>
      <c r="T25" s="3" t="s">
        <v>2</v>
      </c>
      <c r="V25" s="3" t="s">
        <v>73</v>
      </c>
      <c r="W25" s="3" t="s">
        <v>1</v>
      </c>
      <c r="X25" s="3" t="s">
        <v>2</v>
      </c>
    </row>
    <row r="26" spans="2:24" x14ac:dyDescent="0.3">
      <c r="B26" s="23" t="s">
        <v>61</v>
      </c>
      <c r="C26" s="24" cm="1">
        <f t="array" aca="1" ref="C26" ca="1">INDIRECT(B26&amp;"!C26")</f>
        <v>10300</v>
      </c>
      <c r="D26" s="25" cm="1">
        <f t="array" aca="1" ref="D26" ca="1">INDIRECT(B26&amp;"!D26")</f>
        <v>9270</v>
      </c>
      <c r="F26" s="23" t="s">
        <v>61</v>
      </c>
      <c r="G26" s="24" cm="1">
        <f t="array" aca="1" ref="G26" ca="1">INDIRECT(F26&amp;"!G42")</f>
        <v>1730</v>
      </c>
      <c r="H26" s="25" cm="1">
        <f t="array" aca="1" ref="H26" ca="1">INDIRECT(F26&amp;"!H42")</f>
        <v>1685</v>
      </c>
      <c r="J26" s="23" t="s">
        <v>61</v>
      </c>
      <c r="K26" s="24" cm="1">
        <f t="array" aca="1" ref="K26" ca="1">INDIRECT(J26&amp;"!K42")</f>
        <v>1630</v>
      </c>
      <c r="L26" s="25" cm="1">
        <f t="array" aca="1" ref="L26" ca="1">INDIRECT(J26&amp;"!L42")</f>
        <v>1355</v>
      </c>
      <c r="N26" s="23" t="s">
        <v>61</v>
      </c>
      <c r="O26" s="24" cm="1">
        <f t="array" aca="1" ref="O26" ca="1">INDIRECT(N26&amp;"!C42")</f>
        <v>4200</v>
      </c>
      <c r="P26" s="25" cm="1">
        <f t="array" aca="1" ref="P26" ca="1">INDIRECT(N26&amp;"!D42")</f>
        <v>4100</v>
      </c>
      <c r="R26" s="23" t="s">
        <v>61</v>
      </c>
      <c r="S26" s="24" cm="1">
        <f t="array" aca="1" ref="S26" ca="1">INDIRECT(R26&amp;"!O26")</f>
        <v>1175</v>
      </c>
      <c r="T26" s="25" cm="1">
        <f t="array" aca="1" ref="T26" ca="1">INDIRECT(R26&amp;"!P26")</f>
        <v>1075</v>
      </c>
      <c r="V26" s="23" t="s">
        <v>61</v>
      </c>
      <c r="W26" s="24" cm="1">
        <f t="array" aca="1" ref="W26" ca="1">INDIRECT(V26&amp;"!O42")</f>
        <v>500</v>
      </c>
      <c r="X26" s="25" cm="1">
        <f t="array" aca="1" ref="X26" ca="1">INDIRECT(V26&amp;"!P42")</f>
        <v>300</v>
      </c>
    </row>
    <row r="27" spans="2:24" x14ac:dyDescent="0.3">
      <c r="B27" s="23" t="s">
        <v>62</v>
      </c>
      <c r="C27" s="24" cm="1">
        <f t="array" aca="1" ref="C27" ca="1">INDIRECT(B27&amp;"!C26")</f>
        <v>0</v>
      </c>
      <c r="D27" s="25" cm="1">
        <f t="array" aca="1" ref="D27" ca="1">INDIRECT(B27&amp;"!D26")</f>
        <v>0</v>
      </c>
      <c r="F27" s="23" t="s">
        <v>62</v>
      </c>
      <c r="G27" s="24" cm="1">
        <f t="array" aca="1" ref="G27" ca="1">INDIRECT(F27&amp;"!G42")</f>
        <v>0</v>
      </c>
      <c r="H27" s="25" cm="1">
        <f t="array" aca="1" ref="H27" ca="1">INDIRECT(F27&amp;"!H42")</f>
        <v>0</v>
      </c>
      <c r="J27" s="23" t="s">
        <v>62</v>
      </c>
      <c r="K27" s="24" cm="1">
        <f t="array" aca="1" ref="K27" ca="1">INDIRECT(J27&amp;"!K42")</f>
        <v>0</v>
      </c>
      <c r="L27" s="25" cm="1">
        <f t="array" aca="1" ref="L27" ca="1">INDIRECT(J27&amp;"!L42")</f>
        <v>0</v>
      </c>
      <c r="N27" s="23" t="s">
        <v>62</v>
      </c>
      <c r="O27" s="24" cm="1">
        <f t="array" aca="1" ref="O27" ca="1">INDIRECT(N27&amp;"!C42")</f>
        <v>0</v>
      </c>
      <c r="P27" s="25" cm="1">
        <f t="array" aca="1" ref="P27" ca="1">INDIRECT(N27&amp;"!D42")</f>
        <v>0</v>
      </c>
      <c r="R27" s="23" t="s">
        <v>62</v>
      </c>
      <c r="S27" s="24" cm="1">
        <f t="array" aca="1" ref="S27" ca="1">INDIRECT(R27&amp;"!O26")</f>
        <v>0</v>
      </c>
      <c r="T27" s="25" cm="1">
        <f t="array" aca="1" ref="T27" ca="1">INDIRECT(R27&amp;"!P26")</f>
        <v>0</v>
      </c>
      <c r="V27" s="23" t="s">
        <v>62</v>
      </c>
      <c r="W27" s="24" cm="1">
        <f t="array" aca="1" ref="W27" ca="1">INDIRECT(V27&amp;"!O42")</f>
        <v>0</v>
      </c>
      <c r="X27" s="25" cm="1">
        <f t="array" aca="1" ref="X27" ca="1">INDIRECT(V27&amp;"!P42")</f>
        <v>0</v>
      </c>
    </row>
    <row r="28" spans="2:24" x14ac:dyDescent="0.3">
      <c r="B28" s="23" t="s">
        <v>63</v>
      </c>
      <c r="C28" s="24" cm="1">
        <f t="array" aca="1" ref="C28" ca="1">INDIRECT(B28&amp;"!C26")</f>
        <v>0</v>
      </c>
      <c r="D28" s="25" cm="1">
        <f t="array" aca="1" ref="D28" ca="1">INDIRECT(B28&amp;"!D26")</f>
        <v>0</v>
      </c>
      <c r="F28" s="23" t="s">
        <v>63</v>
      </c>
      <c r="G28" s="24" cm="1">
        <f t="array" aca="1" ref="G28" ca="1">INDIRECT(F28&amp;"!G42")</f>
        <v>0</v>
      </c>
      <c r="H28" s="25" cm="1">
        <f t="array" aca="1" ref="H28" ca="1">INDIRECT(F28&amp;"!H42")</f>
        <v>0</v>
      </c>
      <c r="J28" s="23" t="s">
        <v>63</v>
      </c>
      <c r="K28" s="24" cm="1">
        <f t="array" aca="1" ref="K28" ca="1">INDIRECT(J28&amp;"!K42")</f>
        <v>0</v>
      </c>
      <c r="L28" s="25" cm="1">
        <f t="array" aca="1" ref="L28" ca="1">INDIRECT(J28&amp;"!L42")</f>
        <v>0</v>
      </c>
      <c r="N28" s="23" t="s">
        <v>63</v>
      </c>
      <c r="O28" s="24" cm="1">
        <f t="array" aca="1" ref="O28" ca="1">INDIRECT(N28&amp;"!C42")</f>
        <v>0</v>
      </c>
      <c r="P28" s="25" cm="1">
        <f t="array" aca="1" ref="P28" ca="1">INDIRECT(N28&amp;"!D42")</f>
        <v>0</v>
      </c>
      <c r="R28" s="23" t="s">
        <v>63</v>
      </c>
      <c r="S28" s="24" cm="1">
        <f t="array" aca="1" ref="S28" ca="1">INDIRECT(R28&amp;"!O26")</f>
        <v>0</v>
      </c>
      <c r="T28" s="25" cm="1">
        <f t="array" aca="1" ref="T28" ca="1">INDIRECT(R28&amp;"!P26")</f>
        <v>0</v>
      </c>
      <c r="V28" s="23" t="s">
        <v>63</v>
      </c>
      <c r="W28" s="24" cm="1">
        <f t="array" aca="1" ref="W28" ca="1">INDIRECT(V28&amp;"!O42")</f>
        <v>0</v>
      </c>
      <c r="X28" s="25" cm="1">
        <f t="array" aca="1" ref="X28" ca="1">INDIRECT(V28&amp;"!P42")</f>
        <v>0</v>
      </c>
    </row>
    <row r="29" spans="2:24" x14ac:dyDescent="0.3">
      <c r="B29" s="23" t="s">
        <v>64</v>
      </c>
      <c r="C29" s="24" cm="1">
        <f t="array" aca="1" ref="C29" ca="1">INDIRECT(B29&amp;"!C26")</f>
        <v>0</v>
      </c>
      <c r="D29" s="25" cm="1">
        <f t="array" aca="1" ref="D29" ca="1">INDIRECT(B29&amp;"!D26")</f>
        <v>0</v>
      </c>
      <c r="F29" s="23" t="s">
        <v>64</v>
      </c>
      <c r="G29" s="24" cm="1">
        <f t="array" aca="1" ref="G29" ca="1">INDIRECT(F29&amp;"!G42")</f>
        <v>0</v>
      </c>
      <c r="H29" s="25" cm="1">
        <f t="array" aca="1" ref="H29" ca="1">INDIRECT(F29&amp;"!H42")</f>
        <v>0</v>
      </c>
      <c r="J29" s="23" t="s">
        <v>64</v>
      </c>
      <c r="K29" s="24" cm="1">
        <f t="array" aca="1" ref="K29" ca="1">INDIRECT(J29&amp;"!K42")</f>
        <v>0</v>
      </c>
      <c r="L29" s="25" cm="1">
        <f t="array" aca="1" ref="L29" ca="1">INDIRECT(J29&amp;"!L42")</f>
        <v>0</v>
      </c>
      <c r="N29" s="23" t="s">
        <v>64</v>
      </c>
      <c r="O29" s="24" cm="1">
        <f t="array" aca="1" ref="O29" ca="1">INDIRECT(N29&amp;"!C42")</f>
        <v>0</v>
      </c>
      <c r="P29" s="25" cm="1">
        <f t="array" aca="1" ref="P29" ca="1">INDIRECT(N29&amp;"!D42")</f>
        <v>0</v>
      </c>
      <c r="R29" s="23" t="s">
        <v>64</v>
      </c>
      <c r="S29" s="24" cm="1">
        <f t="array" aca="1" ref="S29" ca="1">INDIRECT(R29&amp;"!O26")</f>
        <v>0</v>
      </c>
      <c r="T29" s="25" cm="1">
        <f t="array" aca="1" ref="T29" ca="1">INDIRECT(R29&amp;"!P26")</f>
        <v>0</v>
      </c>
      <c r="V29" s="23" t="s">
        <v>64</v>
      </c>
      <c r="W29" s="24" cm="1">
        <f t="array" aca="1" ref="W29" ca="1">INDIRECT(V29&amp;"!O42")</f>
        <v>0</v>
      </c>
      <c r="X29" s="25" cm="1">
        <f t="array" aca="1" ref="X29" ca="1">INDIRECT(V29&amp;"!P42")</f>
        <v>0</v>
      </c>
    </row>
    <row r="30" spans="2:24" x14ac:dyDescent="0.3">
      <c r="B30" s="23" t="s">
        <v>65</v>
      </c>
      <c r="C30" s="24" cm="1">
        <f t="array" aca="1" ref="C30" ca="1">INDIRECT(B30&amp;"!C26")</f>
        <v>0</v>
      </c>
      <c r="D30" s="25" cm="1">
        <f t="array" aca="1" ref="D30" ca="1">INDIRECT(B30&amp;"!D26")</f>
        <v>0</v>
      </c>
      <c r="F30" s="23" t="s">
        <v>65</v>
      </c>
      <c r="G30" s="24" cm="1">
        <f t="array" aca="1" ref="G30" ca="1">INDIRECT(F30&amp;"!G42")</f>
        <v>0</v>
      </c>
      <c r="H30" s="25" cm="1">
        <f t="array" aca="1" ref="H30" ca="1">INDIRECT(F30&amp;"!H42")</f>
        <v>0</v>
      </c>
      <c r="J30" s="23" t="s">
        <v>65</v>
      </c>
      <c r="K30" s="24" cm="1">
        <f t="array" aca="1" ref="K30" ca="1">INDIRECT(J30&amp;"!K42")</f>
        <v>0</v>
      </c>
      <c r="L30" s="25" cm="1">
        <f t="array" aca="1" ref="L30" ca="1">INDIRECT(J30&amp;"!L42")</f>
        <v>0</v>
      </c>
      <c r="N30" s="23" t="s">
        <v>65</v>
      </c>
      <c r="O30" s="24" cm="1">
        <f t="array" aca="1" ref="O30" ca="1">INDIRECT(N30&amp;"!C42")</f>
        <v>0</v>
      </c>
      <c r="P30" s="25" cm="1">
        <f t="array" aca="1" ref="P30" ca="1">INDIRECT(N30&amp;"!D42")</f>
        <v>0</v>
      </c>
      <c r="R30" s="23" t="s">
        <v>65</v>
      </c>
      <c r="S30" s="24" cm="1">
        <f t="array" aca="1" ref="S30" ca="1">INDIRECT(R30&amp;"!O26")</f>
        <v>0</v>
      </c>
      <c r="T30" s="25" cm="1">
        <f t="array" aca="1" ref="T30" ca="1">INDIRECT(R30&amp;"!P26")</f>
        <v>0</v>
      </c>
      <c r="V30" s="23" t="s">
        <v>65</v>
      </c>
      <c r="W30" s="24" cm="1">
        <f t="array" aca="1" ref="W30" ca="1">INDIRECT(V30&amp;"!O42")</f>
        <v>0</v>
      </c>
      <c r="X30" s="25" cm="1">
        <f t="array" aca="1" ref="X30" ca="1">INDIRECT(V30&amp;"!P42")</f>
        <v>0</v>
      </c>
    </row>
    <row r="31" spans="2:24" x14ac:dyDescent="0.3">
      <c r="B31" s="23" t="s">
        <v>66</v>
      </c>
      <c r="C31" s="24" cm="1">
        <f t="array" aca="1" ref="C31" ca="1">INDIRECT(B31&amp;"!C26")</f>
        <v>0</v>
      </c>
      <c r="D31" s="25" cm="1">
        <f t="array" aca="1" ref="D31" ca="1">INDIRECT(B31&amp;"!D26")</f>
        <v>0</v>
      </c>
      <c r="F31" s="23" t="s">
        <v>66</v>
      </c>
      <c r="G31" s="24" cm="1">
        <f t="array" aca="1" ref="G31" ca="1">INDIRECT(F31&amp;"!G42")</f>
        <v>0</v>
      </c>
      <c r="H31" s="25" cm="1">
        <f t="array" aca="1" ref="H31" ca="1">INDIRECT(F31&amp;"!H42")</f>
        <v>0</v>
      </c>
      <c r="J31" s="23" t="s">
        <v>66</v>
      </c>
      <c r="K31" s="24" cm="1">
        <f t="array" aca="1" ref="K31" ca="1">INDIRECT(J31&amp;"!K42")</f>
        <v>0</v>
      </c>
      <c r="L31" s="25" cm="1">
        <f t="array" aca="1" ref="L31" ca="1">INDIRECT(J31&amp;"!L42")</f>
        <v>0</v>
      </c>
      <c r="N31" s="23" t="s">
        <v>66</v>
      </c>
      <c r="O31" s="24" cm="1">
        <f t="array" aca="1" ref="O31" ca="1">INDIRECT(N31&amp;"!C42")</f>
        <v>0</v>
      </c>
      <c r="P31" s="25" cm="1">
        <f t="array" aca="1" ref="P31" ca="1">INDIRECT(N31&amp;"!D42")</f>
        <v>0</v>
      </c>
      <c r="R31" s="23" t="s">
        <v>66</v>
      </c>
      <c r="S31" s="24" cm="1">
        <f t="array" aca="1" ref="S31" ca="1">INDIRECT(R31&amp;"!O26")</f>
        <v>0</v>
      </c>
      <c r="T31" s="25" cm="1">
        <f t="array" aca="1" ref="T31" ca="1">INDIRECT(R31&amp;"!P26")</f>
        <v>0</v>
      </c>
      <c r="V31" s="23" t="s">
        <v>66</v>
      </c>
      <c r="W31" s="24" cm="1">
        <f t="array" aca="1" ref="W31" ca="1">INDIRECT(V31&amp;"!O42")</f>
        <v>0</v>
      </c>
      <c r="X31" s="25" cm="1">
        <f t="array" aca="1" ref="X31" ca="1">INDIRECT(V31&amp;"!P42")</f>
        <v>0</v>
      </c>
    </row>
    <row r="32" spans="2:24" x14ac:dyDescent="0.3">
      <c r="B32" s="23" t="s">
        <v>67</v>
      </c>
      <c r="C32" s="24" cm="1">
        <f t="array" aca="1" ref="C32" ca="1">INDIRECT(B32&amp;"!C26")</f>
        <v>0</v>
      </c>
      <c r="D32" s="25" cm="1">
        <f t="array" aca="1" ref="D32" ca="1">INDIRECT(B32&amp;"!D26")</f>
        <v>0</v>
      </c>
      <c r="F32" s="23" t="s">
        <v>67</v>
      </c>
      <c r="G32" s="24" cm="1">
        <f t="array" aca="1" ref="G32" ca="1">INDIRECT(F32&amp;"!G42")</f>
        <v>0</v>
      </c>
      <c r="H32" s="25" cm="1">
        <f t="array" aca="1" ref="H32" ca="1">INDIRECT(F32&amp;"!H42")</f>
        <v>0</v>
      </c>
      <c r="J32" s="23" t="s">
        <v>67</v>
      </c>
      <c r="K32" s="24" cm="1">
        <f t="array" aca="1" ref="K32" ca="1">INDIRECT(J32&amp;"!K42")</f>
        <v>0</v>
      </c>
      <c r="L32" s="25" cm="1">
        <f t="array" aca="1" ref="L32" ca="1">INDIRECT(J32&amp;"!L42")</f>
        <v>0</v>
      </c>
      <c r="N32" s="23" t="s">
        <v>67</v>
      </c>
      <c r="O32" s="24" cm="1">
        <f t="array" aca="1" ref="O32" ca="1">INDIRECT(N32&amp;"!C42")</f>
        <v>0</v>
      </c>
      <c r="P32" s="25" cm="1">
        <f t="array" aca="1" ref="P32" ca="1">INDIRECT(N32&amp;"!D42")</f>
        <v>0</v>
      </c>
      <c r="R32" s="23" t="s">
        <v>67</v>
      </c>
      <c r="S32" s="24" cm="1">
        <f t="array" aca="1" ref="S32" ca="1">INDIRECT(R32&amp;"!O26")</f>
        <v>0</v>
      </c>
      <c r="T32" s="25" cm="1">
        <f t="array" aca="1" ref="T32" ca="1">INDIRECT(R32&amp;"!P26")</f>
        <v>0</v>
      </c>
      <c r="V32" s="23" t="s">
        <v>67</v>
      </c>
      <c r="W32" s="24" cm="1">
        <f t="array" aca="1" ref="W32" ca="1">INDIRECT(V32&amp;"!O42")</f>
        <v>0</v>
      </c>
      <c r="X32" s="25" cm="1">
        <f t="array" aca="1" ref="X32" ca="1">INDIRECT(V32&amp;"!P42")</f>
        <v>0</v>
      </c>
    </row>
    <row r="33" spans="2:24" x14ac:dyDescent="0.3">
      <c r="B33" s="23" t="s">
        <v>68</v>
      </c>
      <c r="C33" s="24" cm="1">
        <f t="array" aca="1" ref="C33" ca="1">INDIRECT(B33&amp;"!C26")</f>
        <v>0</v>
      </c>
      <c r="D33" s="25" cm="1">
        <f t="array" aca="1" ref="D33" ca="1">INDIRECT(B33&amp;"!D26")</f>
        <v>0</v>
      </c>
      <c r="F33" s="23" t="s">
        <v>68</v>
      </c>
      <c r="G33" s="24" cm="1">
        <f t="array" aca="1" ref="G33" ca="1">INDIRECT(F33&amp;"!G42")</f>
        <v>0</v>
      </c>
      <c r="H33" s="25" cm="1">
        <f t="array" aca="1" ref="H33" ca="1">INDIRECT(F33&amp;"!H42")</f>
        <v>0</v>
      </c>
      <c r="J33" s="23" t="s">
        <v>68</v>
      </c>
      <c r="K33" s="24" cm="1">
        <f t="array" aca="1" ref="K33" ca="1">INDIRECT(J33&amp;"!K42")</f>
        <v>0</v>
      </c>
      <c r="L33" s="25" cm="1">
        <f t="array" aca="1" ref="L33" ca="1">INDIRECT(J33&amp;"!L42")</f>
        <v>0</v>
      </c>
      <c r="N33" s="23" t="s">
        <v>68</v>
      </c>
      <c r="O33" s="24" cm="1">
        <f t="array" aca="1" ref="O33" ca="1">INDIRECT(N33&amp;"!C42")</f>
        <v>0</v>
      </c>
      <c r="P33" s="25" cm="1">
        <f t="array" aca="1" ref="P33" ca="1">INDIRECT(N33&amp;"!D42")</f>
        <v>0</v>
      </c>
      <c r="R33" s="23" t="s">
        <v>68</v>
      </c>
      <c r="S33" s="24" cm="1">
        <f t="array" aca="1" ref="S33" ca="1">INDIRECT(R33&amp;"!O26")</f>
        <v>0</v>
      </c>
      <c r="T33" s="25" cm="1">
        <f t="array" aca="1" ref="T33" ca="1">INDIRECT(R33&amp;"!P26")</f>
        <v>0</v>
      </c>
      <c r="V33" s="23" t="s">
        <v>68</v>
      </c>
      <c r="W33" s="24" cm="1">
        <f t="array" aca="1" ref="W33" ca="1">INDIRECT(V33&amp;"!O42")</f>
        <v>0</v>
      </c>
      <c r="X33" s="25" cm="1">
        <f t="array" aca="1" ref="X33" ca="1">INDIRECT(V33&amp;"!P42")</f>
        <v>0</v>
      </c>
    </row>
    <row r="34" spans="2:24" x14ac:dyDescent="0.3">
      <c r="B34" s="23" t="s">
        <v>69</v>
      </c>
      <c r="C34" s="24" cm="1">
        <f t="array" aca="1" ref="C34" ca="1">INDIRECT(B34&amp;"!C26")</f>
        <v>0</v>
      </c>
      <c r="D34" s="25" cm="1">
        <f t="array" aca="1" ref="D34" ca="1">INDIRECT(B34&amp;"!D26")</f>
        <v>0</v>
      </c>
      <c r="F34" s="23" t="s">
        <v>69</v>
      </c>
      <c r="G34" s="24" cm="1">
        <f t="array" aca="1" ref="G34" ca="1">INDIRECT(F34&amp;"!G42")</f>
        <v>0</v>
      </c>
      <c r="H34" s="25" cm="1">
        <f t="array" aca="1" ref="H34" ca="1">INDIRECT(F34&amp;"!H42")</f>
        <v>0</v>
      </c>
      <c r="J34" s="23" t="s">
        <v>69</v>
      </c>
      <c r="K34" s="24" cm="1">
        <f t="array" aca="1" ref="K34" ca="1">INDIRECT(J34&amp;"!K42")</f>
        <v>0</v>
      </c>
      <c r="L34" s="25" cm="1">
        <f t="array" aca="1" ref="L34" ca="1">INDIRECT(J34&amp;"!L42")</f>
        <v>0</v>
      </c>
      <c r="N34" s="23" t="s">
        <v>69</v>
      </c>
      <c r="O34" s="24" cm="1">
        <f t="array" aca="1" ref="O34" ca="1">INDIRECT(N34&amp;"!C42")</f>
        <v>0</v>
      </c>
      <c r="P34" s="25" cm="1">
        <f t="array" aca="1" ref="P34" ca="1">INDIRECT(N34&amp;"!D42")</f>
        <v>0</v>
      </c>
      <c r="R34" s="23" t="s">
        <v>69</v>
      </c>
      <c r="S34" s="24" cm="1">
        <f t="array" aca="1" ref="S34" ca="1">INDIRECT(R34&amp;"!O26")</f>
        <v>0</v>
      </c>
      <c r="T34" s="25" cm="1">
        <f t="array" aca="1" ref="T34" ca="1">INDIRECT(R34&amp;"!P26")</f>
        <v>0</v>
      </c>
      <c r="V34" s="23" t="s">
        <v>69</v>
      </c>
      <c r="W34" s="24" cm="1">
        <f t="array" aca="1" ref="W34" ca="1">INDIRECT(V34&amp;"!O42")</f>
        <v>0</v>
      </c>
      <c r="X34" s="25" cm="1">
        <f t="array" aca="1" ref="X34" ca="1">INDIRECT(V34&amp;"!P42")</f>
        <v>0</v>
      </c>
    </row>
    <row r="35" spans="2:24" x14ac:dyDescent="0.3">
      <c r="B35" s="23" t="s">
        <v>70</v>
      </c>
      <c r="C35" s="24" cm="1">
        <f t="array" aca="1" ref="C35" ca="1">INDIRECT(B35&amp;"!C26")</f>
        <v>0</v>
      </c>
      <c r="D35" s="25" cm="1">
        <f t="array" aca="1" ref="D35" ca="1">INDIRECT(B35&amp;"!D26")</f>
        <v>0</v>
      </c>
      <c r="F35" s="23" t="s">
        <v>70</v>
      </c>
      <c r="G35" s="24" cm="1">
        <f t="array" aca="1" ref="G35" ca="1">INDIRECT(F35&amp;"!G42")</f>
        <v>0</v>
      </c>
      <c r="H35" s="25" cm="1">
        <f t="array" aca="1" ref="H35" ca="1">INDIRECT(F35&amp;"!H42")</f>
        <v>0</v>
      </c>
      <c r="J35" s="23" t="s">
        <v>70</v>
      </c>
      <c r="K35" s="24" cm="1">
        <f t="array" aca="1" ref="K35" ca="1">INDIRECT(J35&amp;"!K42")</f>
        <v>0</v>
      </c>
      <c r="L35" s="25" cm="1">
        <f t="array" aca="1" ref="L35" ca="1">INDIRECT(J35&amp;"!L42")</f>
        <v>0</v>
      </c>
      <c r="N35" s="23" t="s">
        <v>70</v>
      </c>
      <c r="O35" s="24" cm="1">
        <f t="array" aca="1" ref="O35" ca="1">INDIRECT(N35&amp;"!C42")</f>
        <v>0</v>
      </c>
      <c r="P35" s="25" cm="1">
        <f t="array" aca="1" ref="P35" ca="1">INDIRECT(N35&amp;"!D42")</f>
        <v>0</v>
      </c>
      <c r="R35" s="23" t="s">
        <v>70</v>
      </c>
      <c r="S35" s="24" cm="1">
        <f t="array" aca="1" ref="S35" ca="1">INDIRECT(R35&amp;"!O26")</f>
        <v>0</v>
      </c>
      <c r="T35" s="25" cm="1">
        <f t="array" aca="1" ref="T35" ca="1">INDIRECT(R35&amp;"!P26")</f>
        <v>0</v>
      </c>
      <c r="V35" s="23" t="s">
        <v>70</v>
      </c>
      <c r="W35" s="24" cm="1">
        <f t="array" aca="1" ref="W35" ca="1">INDIRECT(V35&amp;"!O42")</f>
        <v>0</v>
      </c>
      <c r="X35" s="25" cm="1">
        <f t="array" aca="1" ref="X35" ca="1">INDIRECT(V35&amp;"!P42")</f>
        <v>0</v>
      </c>
    </row>
    <row r="36" spans="2:24" x14ac:dyDescent="0.3">
      <c r="B36" s="23" t="s">
        <v>71</v>
      </c>
      <c r="C36" s="24" cm="1">
        <f t="array" aca="1" ref="C36" ca="1">INDIRECT(B36&amp;"!C26")</f>
        <v>0</v>
      </c>
      <c r="D36" s="25" cm="1">
        <f t="array" aca="1" ref="D36" ca="1">INDIRECT(B36&amp;"!D26")</f>
        <v>0</v>
      </c>
      <c r="F36" s="23" t="s">
        <v>71</v>
      </c>
      <c r="G36" s="24" cm="1">
        <f t="array" aca="1" ref="G36" ca="1">INDIRECT(F36&amp;"!G42")</f>
        <v>0</v>
      </c>
      <c r="H36" s="25" cm="1">
        <f t="array" aca="1" ref="H36" ca="1">INDIRECT(F36&amp;"!H42")</f>
        <v>0</v>
      </c>
      <c r="J36" s="23" t="s">
        <v>71</v>
      </c>
      <c r="K36" s="24" cm="1">
        <f t="array" aca="1" ref="K36" ca="1">INDIRECT(J36&amp;"!K42")</f>
        <v>0</v>
      </c>
      <c r="L36" s="25" cm="1">
        <f t="array" aca="1" ref="L36" ca="1">INDIRECT(J36&amp;"!L42")</f>
        <v>0</v>
      </c>
      <c r="N36" s="23" t="s">
        <v>71</v>
      </c>
      <c r="O36" s="24" cm="1">
        <f t="array" aca="1" ref="O36" ca="1">INDIRECT(N36&amp;"!C42")</f>
        <v>0</v>
      </c>
      <c r="P36" s="25" cm="1">
        <f t="array" aca="1" ref="P36" ca="1">INDIRECT(N36&amp;"!D42")</f>
        <v>0</v>
      </c>
      <c r="R36" s="23" t="s">
        <v>71</v>
      </c>
      <c r="S36" s="24" cm="1">
        <f t="array" aca="1" ref="S36" ca="1">INDIRECT(R36&amp;"!O26")</f>
        <v>0</v>
      </c>
      <c r="T36" s="25" cm="1">
        <f t="array" aca="1" ref="T36" ca="1">INDIRECT(R36&amp;"!P26")</f>
        <v>0</v>
      </c>
      <c r="V36" s="23" t="s">
        <v>71</v>
      </c>
      <c r="W36" s="24" cm="1">
        <f t="array" aca="1" ref="W36" ca="1">INDIRECT(V36&amp;"!O42")</f>
        <v>0</v>
      </c>
      <c r="X36" s="25" cm="1">
        <f t="array" aca="1" ref="X36" ca="1">INDIRECT(V36&amp;"!P42")</f>
        <v>0</v>
      </c>
    </row>
    <row r="37" spans="2:24" x14ac:dyDescent="0.3">
      <c r="B37" s="23" t="s">
        <v>72</v>
      </c>
      <c r="C37" s="24" cm="1">
        <f t="array" aca="1" ref="C37" ca="1">INDIRECT(B37&amp;"!C26")</f>
        <v>0</v>
      </c>
      <c r="D37" s="25" cm="1">
        <f t="array" aca="1" ref="D37" ca="1">INDIRECT(B37&amp;"!D26")</f>
        <v>0</v>
      </c>
      <c r="F37" s="23" t="s">
        <v>72</v>
      </c>
      <c r="G37" s="24" cm="1">
        <f t="array" aca="1" ref="G37" ca="1">INDIRECT(F37&amp;"!G42")</f>
        <v>0</v>
      </c>
      <c r="H37" s="25" cm="1">
        <f t="array" aca="1" ref="H37" ca="1">INDIRECT(F37&amp;"!H42")</f>
        <v>0</v>
      </c>
      <c r="J37" s="23" t="s">
        <v>72</v>
      </c>
      <c r="K37" s="24" cm="1">
        <f t="array" aca="1" ref="K37" ca="1">INDIRECT(J37&amp;"!K42")</f>
        <v>0</v>
      </c>
      <c r="L37" s="25" cm="1">
        <f t="array" aca="1" ref="L37" ca="1">INDIRECT(J37&amp;"!L42")</f>
        <v>0</v>
      </c>
      <c r="N37" s="23" t="s">
        <v>72</v>
      </c>
      <c r="O37" s="24" cm="1">
        <f t="array" aca="1" ref="O37" ca="1">INDIRECT(N37&amp;"!C42")</f>
        <v>0</v>
      </c>
      <c r="P37" s="25" cm="1">
        <f t="array" aca="1" ref="P37" ca="1">INDIRECT(N37&amp;"!D42")</f>
        <v>0</v>
      </c>
      <c r="R37" s="23" t="s">
        <v>72</v>
      </c>
      <c r="S37" s="24" cm="1">
        <f t="array" aca="1" ref="S37" ca="1">INDIRECT(R37&amp;"!O26")</f>
        <v>0</v>
      </c>
      <c r="T37" s="25" cm="1">
        <f t="array" aca="1" ref="T37" ca="1">INDIRECT(R37&amp;"!P26")</f>
        <v>0</v>
      </c>
      <c r="V37" s="23" t="s">
        <v>72</v>
      </c>
      <c r="W37" s="24" cm="1">
        <f t="array" aca="1" ref="W37" ca="1">INDIRECT(V37&amp;"!O42")</f>
        <v>0</v>
      </c>
      <c r="X37" s="25" cm="1">
        <f t="array" aca="1" ref="X37" ca="1">INDIRECT(V37&amp;"!P42")</f>
        <v>0</v>
      </c>
    </row>
    <row r="38" spans="2:24" ht="17.25" thickBot="1" x14ac:dyDescent="0.35">
      <c r="B38" s="3" t="s">
        <v>3</v>
      </c>
      <c r="C38" s="27">
        <f ca="1">SUM(C26:C37)</f>
        <v>10300</v>
      </c>
      <c r="D38" s="27">
        <f ca="1">SUM(D26:D37)</f>
        <v>9270</v>
      </c>
      <c r="F38" s="3" t="s">
        <v>3</v>
      </c>
      <c r="G38" s="27">
        <f ca="1">SUM(G26:G37)</f>
        <v>1730</v>
      </c>
      <c r="H38" s="27">
        <f ca="1">SUM(H26:H37)</f>
        <v>1685</v>
      </c>
      <c r="J38" s="3" t="s">
        <v>3</v>
      </c>
      <c r="K38" s="27">
        <f ca="1">SUM(K26:K37)</f>
        <v>1630</v>
      </c>
      <c r="L38" s="27">
        <f ca="1">SUM(L26:L37)</f>
        <v>1355</v>
      </c>
      <c r="N38" s="3" t="s">
        <v>3</v>
      </c>
      <c r="O38" s="27">
        <f ca="1">SUM(O26:O37)</f>
        <v>4200</v>
      </c>
      <c r="P38" s="27">
        <f ca="1">SUM(P26:P37)</f>
        <v>4100</v>
      </c>
      <c r="R38" s="3" t="s">
        <v>3</v>
      </c>
      <c r="S38" s="27">
        <f ca="1">SUM(S26:S37)</f>
        <v>1175</v>
      </c>
      <c r="T38" s="27">
        <f ca="1">SUM(T26:T37)</f>
        <v>1075</v>
      </c>
      <c r="V38" s="3" t="s">
        <v>3</v>
      </c>
      <c r="W38" s="27">
        <f ca="1">SUM(W26:W37)</f>
        <v>500</v>
      </c>
      <c r="X38" s="27">
        <f ca="1">SUM(X26:X37)</f>
        <v>300</v>
      </c>
    </row>
    <row r="39" spans="2:24" x14ac:dyDescent="0.3">
      <c r="B39" s="31" t="s">
        <v>57</v>
      </c>
      <c r="C39" s="31"/>
      <c r="D39" s="28">
        <f ca="1">C38-D38</f>
        <v>1030</v>
      </c>
      <c r="F39" s="31" t="s">
        <v>57</v>
      </c>
      <c r="G39" s="31"/>
      <c r="H39" s="28">
        <f ca="1">G38-H38</f>
        <v>45</v>
      </c>
      <c r="J39" s="31" t="s">
        <v>57</v>
      </c>
      <c r="K39" s="31"/>
      <c r="L39" s="28">
        <f ca="1">K38-L38</f>
        <v>275</v>
      </c>
      <c r="N39" s="31" t="s">
        <v>57</v>
      </c>
      <c r="O39" s="31"/>
      <c r="P39" s="28">
        <f ca="1">O38-P38</f>
        <v>100</v>
      </c>
      <c r="R39" s="31" t="s">
        <v>57</v>
      </c>
      <c r="S39" s="31"/>
      <c r="T39" s="28">
        <f ca="1">S38-T38</f>
        <v>100</v>
      </c>
      <c r="V39" s="31" t="s">
        <v>57</v>
      </c>
      <c r="W39" s="31"/>
      <c r="X39" s="28">
        <f ca="1">W38-X38</f>
        <v>200</v>
      </c>
    </row>
  </sheetData>
  <sheetProtection algorithmName="SHA-512" hashValue="5u5rqJBvesnWZpqeQOdCduQjBuZ4r4rqwREEXmJYO3Xf4dxVS8wBQgufAT0MDscL5lIyRpMcDj2gAFKWcNVD4w==" saltValue="jlSewdGQY5di04TSZIC6EA==" spinCount="100000" sheet="1" objects="1" scenarios="1" selectLockedCells="1"/>
  <mergeCells count="29">
    <mergeCell ref="B2:H3"/>
    <mergeCell ref="B39:C39"/>
    <mergeCell ref="J22:K22"/>
    <mergeCell ref="N22:O22"/>
    <mergeCell ref="R22:S22"/>
    <mergeCell ref="B24:D24"/>
    <mergeCell ref="F24:H24"/>
    <mergeCell ref="F39:G39"/>
    <mergeCell ref="J24:L24"/>
    <mergeCell ref="J39:K39"/>
    <mergeCell ref="L2:L3"/>
    <mergeCell ref="I2:K3"/>
    <mergeCell ref="V22:W22"/>
    <mergeCell ref="J16:X16"/>
    <mergeCell ref="F5:H5"/>
    <mergeCell ref="F22:G22"/>
    <mergeCell ref="F16:H16"/>
    <mergeCell ref="F14:G14"/>
    <mergeCell ref="J5:X5"/>
    <mergeCell ref="J14:K14"/>
    <mergeCell ref="N14:O14"/>
    <mergeCell ref="R14:S14"/>
    <mergeCell ref="V14:W14"/>
    <mergeCell ref="V24:X24"/>
    <mergeCell ref="V39:W39"/>
    <mergeCell ref="N24:P24"/>
    <mergeCell ref="N39:O39"/>
    <mergeCell ref="R24:T24"/>
    <mergeCell ref="R39:S39"/>
  </mergeCells>
  <phoneticPr fontId="12" type="noConversion"/>
  <conditionalFormatting sqref="C26:D37">
    <cfRule type="cellIs" dxfId="156" priority="54" operator="lessThan">
      <formula>0</formula>
    </cfRule>
  </conditionalFormatting>
  <conditionalFormatting sqref="D39">
    <cfRule type="cellIs" dxfId="155" priority="53" operator="lessThan">
      <formula>0</formula>
    </cfRule>
  </conditionalFormatting>
  <conditionalFormatting sqref="G7:H13">
    <cfRule type="cellIs" dxfId="154" priority="58" operator="lessThan">
      <formula>0</formula>
    </cfRule>
  </conditionalFormatting>
  <conditionalFormatting sqref="G18:H21">
    <cfRule type="cellIs" dxfId="153" priority="56" operator="lessThan">
      <formula>0</formula>
    </cfRule>
  </conditionalFormatting>
  <conditionalFormatting sqref="G26:H37">
    <cfRule type="cellIs" dxfId="152" priority="7" operator="lessThan">
      <formula>0</formula>
    </cfRule>
  </conditionalFormatting>
  <conditionalFormatting sqref="H14">
    <cfRule type="cellIs" dxfId="151" priority="57" operator="lessThan">
      <formula>0</formula>
    </cfRule>
  </conditionalFormatting>
  <conditionalFormatting sqref="H22">
    <cfRule type="cellIs" dxfId="150" priority="55" operator="lessThan">
      <formula>0</formula>
    </cfRule>
  </conditionalFormatting>
  <conditionalFormatting sqref="H39">
    <cfRule type="cellIs" dxfId="149" priority="51" operator="lessThan">
      <formula>0</formula>
    </cfRule>
  </conditionalFormatting>
  <conditionalFormatting sqref="J13:L13">
    <cfRule type="cellIs" dxfId="148" priority="41" operator="lessThan">
      <formula>0</formula>
    </cfRule>
  </conditionalFormatting>
  <conditionalFormatting sqref="J21:L21">
    <cfRule type="cellIs" dxfId="147" priority="18" operator="lessThan">
      <formula>0</formula>
    </cfRule>
  </conditionalFormatting>
  <conditionalFormatting sqref="K7:L12">
    <cfRule type="cellIs" dxfId="146" priority="42" operator="lessThan">
      <formula>0</formula>
    </cfRule>
  </conditionalFormatting>
  <conditionalFormatting sqref="K18:L20">
    <cfRule type="cellIs" dxfId="145" priority="22" operator="lessThan">
      <formula>0</formula>
    </cfRule>
  </conditionalFormatting>
  <conditionalFormatting sqref="K26:L37">
    <cfRule type="cellIs" dxfId="144" priority="5" operator="lessThan">
      <formula>0</formula>
    </cfRule>
  </conditionalFormatting>
  <conditionalFormatting sqref="L14">
    <cfRule type="cellIs" dxfId="143" priority="29" operator="lessThan">
      <formula>0</formula>
    </cfRule>
  </conditionalFormatting>
  <conditionalFormatting sqref="L22">
    <cfRule type="cellIs" dxfId="142" priority="14" operator="lessThan">
      <formula>0</formula>
    </cfRule>
  </conditionalFormatting>
  <conditionalFormatting sqref="L39">
    <cfRule type="cellIs" dxfId="141" priority="49" operator="lessThan">
      <formula>0</formula>
    </cfRule>
  </conditionalFormatting>
  <conditionalFormatting sqref="N8:P13">
    <cfRule type="cellIs" dxfId="140" priority="38" operator="lessThan">
      <formula>0</formula>
    </cfRule>
  </conditionalFormatting>
  <conditionalFormatting sqref="N18:P21">
    <cfRule type="cellIs" dxfId="139" priority="10" operator="lessThan">
      <formula>0</formula>
    </cfRule>
  </conditionalFormatting>
  <conditionalFormatting sqref="O7:P7">
    <cfRule type="cellIs" dxfId="138" priority="39" operator="lessThan">
      <formula>0</formula>
    </cfRule>
  </conditionalFormatting>
  <conditionalFormatting sqref="O26:P37">
    <cfRule type="cellIs" dxfId="137" priority="4" operator="lessThan">
      <formula>0</formula>
    </cfRule>
  </conditionalFormatting>
  <conditionalFormatting sqref="P14">
    <cfRule type="cellIs" dxfId="136" priority="25" operator="lessThan">
      <formula>0</formula>
    </cfRule>
  </conditionalFormatting>
  <conditionalFormatting sqref="P22">
    <cfRule type="cellIs" dxfId="135" priority="13" operator="lessThan">
      <formula>0</formula>
    </cfRule>
  </conditionalFormatting>
  <conditionalFormatting sqref="P39">
    <cfRule type="cellIs" dxfId="134" priority="43" operator="lessThan">
      <formula>0</formula>
    </cfRule>
  </conditionalFormatting>
  <conditionalFormatting sqref="R8:T13">
    <cfRule type="cellIs" dxfId="133" priority="34" operator="lessThan">
      <formula>0</formula>
    </cfRule>
  </conditionalFormatting>
  <conditionalFormatting sqref="R18:T21">
    <cfRule type="cellIs" dxfId="132" priority="9" operator="lessThan">
      <formula>0</formula>
    </cfRule>
  </conditionalFormatting>
  <conditionalFormatting sqref="S7:T7">
    <cfRule type="cellIs" dxfId="131" priority="35" operator="lessThan">
      <formula>0</formula>
    </cfRule>
  </conditionalFormatting>
  <conditionalFormatting sqref="S26:T37">
    <cfRule type="cellIs" dxfId="130" priority="3" operator="lessThan">
      <formula>0</formula>
    </cfRule>
  </conditionalFormatting>
  <conditionalFormatting sqref="T14">
    <cfRule type="cellIs" dxfId="129" priority="24" operator="lessThan">
      <formula>0</formula>
    </cfRule>
  </conditionalFormatting>
  <conditionalFormatting sqref="T22">
    <cfRule type="cellIs" dxfId="128" priority="12" operator="lessThan">
      <formula>0</formula>
    </cfRule>
  </conditionalFormatting>
  <conditionalFormatting sqref="T39">
    <cfRule type="cellIs" dxfId="127" priority="47" operator="lessThan">
      <formula>0</formula>
    </cfRule>
  </conditionalFormatting>
  <conditionalFormatting sqref="V8:X13">
    <cfRule type="cellIs" dxfId="126" priority="31" operator="lessThan">
      <formula>0</formula>
    </cfRule>
  </conditionalFormatting>
  <conditionalFormatting sqref="V18:X21">
    <cfRule type="cellIs" dxfId="125" priority="8" operator="lessThan">
      <formula>0</formula>
    </cfRule>
  </conditionalFormatting>
  <conditionalFormatting sqref="W7:X7">
    <cfRule type="cellIs" dxfId="124" priority="32" operator="lessThan">
      <formula>0</formula>
    </cfRule>
  </conditionalFormatting>
  <conditionalFormatting sqref="W26:X37">
    <cfRule type="cellIs" dxfId="123" priority="1" operator="lessThan">
      <formula>0</formula>
    </cfRule>
  </conditionalFormatting>
  <conditionalFormatting sqref="X14">
    <cfRule type="cellIs" dxfId="122" priority="23" operator="lessThan">
      <formula>0</formula>
    </cfRule>
  </conditionalFormatting>
  <conditionalFormatting sqref="X22">
    <cfRule type="cellIs" dxfId="121" priority="11" operator="lessThan">
      <formula>0</formula>
    </cfRule>
  </conditionalFormatting>
  <conditionalFormatting sqref="X39">
    <cfRule type="cellIs" dxfId="120" priority="45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1220-991C-4E92-93CF-50398E213257}">
  <sheetPr>
    <tabColor theme="6" tint="-0.499984740745262"/>
  </sheetPr>
  <dimension ref="B1:U43"/>
  <sheetViews>
    <sheetView showGridLines="0" showRowColHeaders="0" tabSelected="1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44927</v>
      </c>
      <c r="D1" s="2">
        <f ca="1">EOMONTH(C1,0)</f>
        <v>44957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enero 2023</v>
      </c>
      <c r="C2" s="47"/>
      <c r="D2" s="47"/>
      <c r="F2" s="50"/>
      <c r="G2" s="50"/>
      <c r="H2" s="50"/>
      <c r="J2" s="56">
        <f>H4</f>
        <v>9270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10300</v>
      </c>
      <c r="H4" s="16">
        <f>D26</f>
        <v>9270</v>
      </c>
      <c r="J4" s="58">
        <f ca="1">SUM(H5:H9)</f>
        <v>8515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1730</v>
      </c>
      <c r="H5" s="16">
        <f>H42</f>
        <v>1685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1630</v>
      </c>
      <c r="H6" s="16">
        <f ca="1">L42</f>
        <v>1355</v>
      </c>
      <c r="J6" s="40">
        <f>G10</f>
        <v>1065</v>
      </c>
      <c r="K6" s="45" t="s">
        <v>59</v>
      </c>
      <c r="R6" s="12">
        <v>44927</v>
      </c>
      <c r="S6" s="13" t="s">
        <v>21</v>
      </c>
      <c r="T6" s="13" t="s">
        <v>101</v>
      </c>
      <c r="U6" s="14">
        <v>100</v>
      </c>
    </row>
    <row r="7" spans="2:21" ht="18" thickTop="1" thickBot="1" x14ac:dyDescent="0.35">
      <c r="B7" s="4" t="s">
        <v>39</v>
      </c>
      <c r="C7" s="17">
        <f>C26</f>
        <v>10300</v>
      </c>
      <c r="D7" s="16">
        <f>D26</f>
        <v>9270</v>
      </c>
      <c r="F7" s="4" t="s">
        <v>74</v>
      </c>
      <c r="G7" s="15">
        <f>C42</f>
        <v>4200</v>
      </c>
      <c r="H7" s="16">
        <f>D42</f>
        <v>4100</v>
      </c>
      <c r="J7" s="40"/>
      <c r="K7" s="46"/>
      <c r="R7" s="12">
        <v>44927</v>
      </c>
      <c r="S7" s="13" t="s">
        <v>23</v>
      </c>
      <c r="T7" s="13" t="s">
        <v>107</v>
      </c>
      <c r="U7" s="14">
        <v>200</v>
      </c>
    </row>
    <row r="8" spans="2:21" ht="18" thickTop="1" thickBot="1" x14ac:dyDescent="0.35">
      <c r="B8" s="4" t="s">
        <v>40</v>
      </c>
      <c r="C8" s="15">
        <f>G42</f>
        <v>1730</v>
      </c>
      <c r="D8" s="16">
        <f>H42</f>
        <v>1685</v>
      </c>
      <c r="F8" s="4" t="s">
        <v>42</v>
      </c>
      <c r="G8" s="15">
        <f>O26</f>
        <v>1175</v>
      </c>
      <c r="H8" s="16">
        <f>P26</f>
        <v>1075</v>
      </c>
      <c r="J8" s="40">
        <f ca="1">H10</f>
        <v>755</v>
      </c>
      <c r="K8" s="45" t="s">
        <v>54</v>
      </c>
      <c r="R8" s="12">
        <v>44928</v>
      </c>
      <c r="S8" s="13" t="s">
        <v>24</v>
      </c>
      <c r="T8" s="13" t="s">
        <v>104</v>
      </c>
      <c r="U8" s="14">
        <v>150</v>
      </c>
    </row>
    <row r="9" spans="2:21" ht="18" thickTop="1" thickBot="1" x14ac:dyDescent="0.35">
      <c r="B9" s="4" t="s">
        <v>41</v>
      </c>
      <c r="C9" s="15">
        <f>K42</f>
        <v>1630</v>
      </c>
      <c r="D9" s="16">
        <f ca="1">L42</f>
        <v>1355</v>
      </c>
      <c r="F9" s="4" t="s">
        <v>43</v>
      </c>
      <c r="G9" s="15">
        <f>O42</f>
        <v>500</v>
      </c>
      <c r="H9" s="16">
        <f>P42</f>
        <v>300</v>
      </c>
      <c r="J9" s="41"/>
      <c r="K9" s="46"/>
      <c r="R9" s="12">
        <v>44929</v>
      </c>
      <c r="S9" s="13" t="s">
        <v>25</v>
      </c>
      <c r="T9" s="13" t="s">
        <v>105</v>
      </c>
      <c r="U9" s="14">
        <v>50</v>
      </c>
    </row>
    <row r="10" spans="2:21" ht="15" customHeight="1" thickTop="1" thickBot="1" x14ac:dyDescent="0.35">
      <c r="B10" s="3" t="s">
        <v>47</v>
      </c>
      <c r="C10" s="5">
        <f>C7-C8-C9</f>
        <v>6940</v>
      </c>
      <c r="D10" s="5">
        <f ca="1">D7-D8-D9</f>
        <v>6230</v>
      </c>
      <c r="F10" s="3" t="s">
        <v>44</v>
      </c>
      <c r="G10" s="5">
        <f>G4-SUM(G5:G9)</f>
        <v>1065</v>
      </c>
      <c r="H10" s="5">
        <f ca="1">H4-SUM(H5:H9)</f>
        <v>755</v>
      </c>
      <c r="J10" s="52">
        <f ca="1">H11</f>
        <v>310</v>
      </c>
      <c r="K10" s="54" t="s">
        <v>58</v>
      </c>
      <c r="R10" s="12">
        <v>44930</v>
      </c>
      <c r="S10" s="13" t="s">
        <v>26</v>
      </c>
      <c r="T10" s="13" t="s">
        <v>113</v>
      </c>
      <c r="U10" s="14">
        <v>10</v>
      </c>
    </row>
    <row r="11" spans="2:21" ht="14.45" customHeight="1" x14ac:dyDescent="0.3">
      <c r="B11" s="31" t="s">
        <v>57</v>
      </c>
      <c r="C11" s="31"/>
      <c r="D11" s="8">
        <f ca="1">C10-D10</f>
        <v>710</v>
      </c>
      <c r="F11" s="31" t="s">
        <v>57</v>
      </c>
      <c r="G11" s="31"/>
      <c r="H11" s="8">
        <f ca="1">G10-H10</f>
        <v>310</v>
      </c>
      <c r="J11" s="53"/>
      <c r="K11" s="55"/>
      <c r="R11" s="12">
        <v>44930</v>
      </c>
      <c r="S11" s="13" t="s">
        <v>27</v>
      </c>
      <c r="T11" s="13" t="s">
        <v>109</v>
      </c>
      <c r="U11" s="14">
        <v>40</v>
      </c>
    </row>
    <row r="12" spans="2:21" x14ac:dyDescent="0.3">
      <c r="R12" s="12">
        <v>44933</v>
      </c>
      <c r="S12" s="13" t="s">
        <v>20</v>
      </c>
      <c r="T12" s="13" t="s">
        <v>106</v>
      </c>
      <c r="U12" s="14">
        <v>200</v>
      </c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>
        <v>44933</v>
      </c>
      <c r="S13" s="13" t="s">
        <v>23</v>
      </c>
      <c r="T13" s="13" t="s">
        <v>108</v>
      </c>
      <c r="U13" s="14">
        <v>15</v>
      </c>
    </row>
    <row r="14" spans="2:21" x14ac:dyDescent="0.3">
      <c r="B14" s="9" t="s">
        <v>16</v>
      </c>
      <c r="C14" s="10">
        <v>10000</v>
      </c>
      <c r="D14" s="11">
        <v>9000</v>
      </c>
      <c r="F14" s="9" t="s">
        <v>5</v>
      </c>
      <c r="G14" s="10">
        <v>1000</v>
      </c>
      <c r="H14" s="11">
        <v>1000</v>
      </c>
      <c r="J14" s="9" t="s">
        <v>20</v>
      </c>
      <c r="K14" s="10">
        <v>250</v>
      </c>
      <c r="L14" s="16">
        <f ca="1">SUMIFS(Tabla_Gastos3[MONTO],Tabla_Gastos3[FECHA],"&gt;="&amp;$C$1,Tabla_Gastos3[FECHA],"&lt;="&amp;$D$1,Tabla_Gastos3[CATEGORIA],J14)</f>
        <v>200</v>
      </c>
      <c r="N14" s="9" t="s">
        <v>100</v>
      </c>
      <c r="O14" s="10">
        <v>950</v>
      </c>
      <c r="P14" s="11">
        <v>900</v>
      </c>
      <c r="R14" s="12">
        <v>44936</v>
      </c>
      <c r="S14" s="13" t="s">
        <v>22</v>
      </c>
      <c r="T14" s="13" t="s">
        <v>112</v>
      </c>
      <c r="U14" s="14">
        <v>200</v>
      </c>
    </row>
    <row r="15" spans="2:21" x14ac:dyDescent="0.3">
      <c r="B15" s="9" t="s">
        <v>17</v>
      </c>
      <c r="C15" s="10">
        <v>200</v>
      </c>
      <c r="D15" s="11">
        <v>120</v>
      </c>
      <c r="F15" s="9" t="s">
        <v>6</v>
      </c>
      <c r="G15" s="10">
        <v>200</v>
      </c>
      <c r="H15" s="11">
        <v>200</v>
      </c>
      <c r="J15" s="9" t="s">
        <v>21</v>
      </c>
      <c r="K15" s="10">
        <v>100</v>
      </c>
      <c r="L15" s="16">
        <f ca="1">SUMIFS(Tabla_Gastos3[MONTO],Tabla_Gastos3[FECHA],"&gt;="&amp;$C$1,Tabla_Gastos3[FECHA],"&lt;="&amp;$D$1,Tabla_Gastos3[CATEGORIA],J15)</f>
        <v>150</v>
      </c>
      <c r="N15" s="9" t="s">
        <v>98</v>
      </c>
      <c r="O15" s="10">
        <v>50</v>
      </c>
      <c r="P15" s="11">
        <v>50</v>
      </c>
      <c r="R15" s="12">
        <v>44941</v>
      </c>
      <c r="S15" s="13" t="s">
        <v>13</v>
      </c>
      <c r="T15" s="13" t="s">
        <v>103</v>
      </c>
      <c r="U15" s="14">
        <v>100</v>
      </c>
    </row>
    <row r="16" spans="2:21" x14ac:dyDescent="0.3">
      <c r="B16" s="9" t="s">
        <v>18</v>
      </c>
      <c r="C16" s="10">
        <v>100</v>
      </c>
      <c r="D16" s="11">
        <v>150</v>
      </c>
      <c r="F16" s="9" t="s">
        <v>7</v>
      </c>
      <c r="G16" s="10">
        <v>80</v>
      </c>
      <c r="H16" s="11">
        <v>50</v>
      </c>
      <c r="J16" s="9" t="s">
        <v>22</v>
      </c>
      <c r="K16" s="10">
        <v>300</v>
      </c>
      <c r="L16" s="16">
        <f ca="1">SUMIFS(Tabla_Gastos3[MONTO],Tabla_Gastos3[FECHA],"&gt;="&amp;$C$1,Tabla_Gastos3[FECHA],"&lt;="&amp;$D$1,Tabla_Gastos3[CATEGORIA],J16)</f>
        <v>200</v>
      </c>
      <c r="N16" s="9" t="s">
        <v>32</v>
      </c>
      <c r="O16" s="10">
        <v>75</v>
      </c>
      <c r="P16" s="11">
        <v>75</v>
      </c>
      <c r="R16" s="12">
        <v>44941</v>
      </c>
      <c r="S16" s="13" t="s">
        <v>25</v>
      </c>
      <c r="T16" s="13" t="s">
        <v>114</v>
      </c>
      <c r="U16" s="14">
        <v>40</v>
      </c>
    </row>
    <row r="17" spans="2:21" x14ac:dyDescent="0.3">
      <c r="B17" s="9"/>
      <c r="C17" s="10"/>
      <c r="D17" s="11"/>
      <c r="F17" s="9" t="s">
        <v>8</v>
      </c>
      <c r="G17" s="10">
        <v>100</v>
      </c>
      <c r="H17" s="11">
        <v>80</v>
      </c>
      <c r="J17" s="9" t="s">
        <v>23</v>
      </c>
      <c r="K17" s="10">
        <v>300</v>
      </c>
      <c r="L17" s="16">
        <f ca="1">SUMIFS(Tabla_Gastos3[MONTO],Tabla_Gastos3[FECHA],"&gt;="&amp;$C$1,Tabla_Gastos3[FECHA],"&lt;="&amp;$D$1,Tabla_Gastos3[CATEGORIA],J17)</f>
        <v>215</v>
      </c>
      <c r="N17" s="9" t="s">
        <v>99</v>
      </c>
      <c r="O17" s="10">
        <v>100</v>
      </c>
      <c r="P17" s="11">
        <v>50</v>
      </c>
      <c r="R17" s="12">
        <v>44947</v>
      </c>
      <c r="S17" s="13" t="s">
        <v>26</v>
      </c>
      <c r="T17" s="13" t="s">
        <v>111</v>
      </c>
      <c r="U17" s="14">
        <v>50</v>
      </c>
    </row>
    <row r="18" spans="2:21" x14ac:dyDescent="0.3">
      <c r="B18" s="9"/>
      <c r="C18" s="10"/>
      <c r="D18" s="11"/>
      <c r="F18" s="9" t="s">
        <v>9</v>
      </c>
      <c r="G18" s="10">
        <v>50</v>
      </c>
      <c r="H18" s="11">
        <v>40</v>
      </c>
      <c r="J18" s="9" t="s">
        <v>24</v>
      </c>
      <c r="K18" s="10">
        <v>200</v>
      </c>
      <c r="L18" s="16">
        <f ca="1">SUMIFS(Tabla_Gastos3[MONTO],Tabla_Gastos3[FECHA],"&gt;="&amp;$C$1,Tabla_Gastos3[FECHA],"&lt;="&amp;$D$1,Tabla_Gastos3[CATEGORIA],J18)</f>
        <v>150</v>
      </c>
      <c r="N18" s="9"/>
      <c r="O18" s="10"/>
      <c r="P18" s="11"/>
      <c r="R18" s="12">
        <v>44948</v>
      </c>
      <c r="S18" s="13" t="s">
        <v>27</v>
      </c>
      <c r="T18" s="13" t="s">
        <v>110</v>
      </c>
      <c r="U18" s="14">
        <v>50</v>
      </c>
    </row>
    <row r="19" spans="2:21" x14ac:dyDescent="0.3">
      <c r="B19" s="9"/>
      <c r="C19" s="10"/>
      <c r="D19" s="11"/>
      <c r="F19" s="9" t="s">
        <v>10</v>
      </c>
      <c r="G19" s="10">
        <v>60</v>
      </c>
      <c r="H19" s="11">
        <v>70</v>
      </c>
      <c r="J19" s="9" t="s">
        <v>25</v>
      </c>
      <c r="K19" s="10">
        <v>100</v>
      </c>
      <c r="L19" s="16">
        <f ca="1">SUMIFS(Tabla_Gastos3[MONTO],Tabla_Gastos3[FECHA],"&gt;="&amp;$C$1,Tabla_Gastos3[FECHA],"&lt;="&amp;$D$1,Tabla_Gastos3[CATEGORIA],J19)</f>
        <v>90</v>
      </c>
      <c r="N19" s="9"/>
      <c r="O19" s="10"/>
      <c r="P19" s="11"/>
      <c r="R19" s="12">
        <v>44951</v>
      </c>
      <c r="S19" s="13" t="s">
        <v>13</v>
      </c>
      <c r="T19" s="13" t="s">
        <v>103</v>
      </c>
      <c r="U19" s="14">
        <v>100</v>
      </c>
    </row>
    <row r="20" spans="2:21" x14ac:dyDescent="0.3">
      <c r="B20" s="9"/>
      <c r="C20" s="10"/>
      <c r="D20" s="11"/>
      <c r="F20" s="9" t="s">
        <v>12</v>
      </c>
      <c r="G20" s="10">
        <v>50</v>
      </c>
      <c r="H20" s="11">
        <v>55</v>
      </c>
      <c r="J20" s="9" t="s">
        <v>26</v>
      </c>
      <c r="K20" s="10">
        <v>100</v>
      </c>
      <c r="L20" s="16">
        <f ca="1">SUMIFS(Tabla_Gastos3[MONTO],Tabla_Gastos3[FECHA],"&gt;="&amp;$C$1,Tabla_Gastos3[FECHA],"&lt;="&amp;$D$1,Tabla_Gastos3[CATEGORIA],J20)</f>
        <v>60</v>
      </c>
      <c r="N20" s="9"/>
      <c r="O20" s="10"/>
      <c r="P20" s="11"/>
      <c r="R20" s="12">
        <v>44955</v>
      </c>
      <c r="S20" s="13" t="s">
        <v>21</v>
      </c>
      <c r="T20" s="13" t="s">
        <v>102</v>
      </c>
      <c r="U20" s="14">
        <v>50</v>
      </c>
    </row>
    <row r="21" spans="2:21" x14ac:dyDescent="0.3">
      <c r="B21" s="9"/>
      <c r="C21" s="10"/>
      <c r="D21" s="11"/>
      <c r="F21" s="9" t="s">
        <v>11</v>
      </c>
      <c r="G21" s="10">
        <v>100</v>
      </c>
      <c r="H21" s="11">
        <v>100</v>
      </c>
      <c r="J21" s="9" t="s">
        <v>27</v>
      </c>
      <c r="K21" s="10">
        <v>80</v>
      </c>
      <c r="L21" s="16">
        <f ca="1">SUMIFS(Tabla_Gastos3[MONTO],Tabla_Gastos3[FECHA],"&gt;="&amp;$C$1,Tabla_Gastos3[FECHA],"&lt;="&amp;$D$1,Tabla_Gastos3[CATEGORIA],J21)</f>
        <v>90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14</v>
      </c>
      <c r="G22" s="10">
        <v>40</v>
      </c>
      <c r="H22" s="11">
        <v>40</v>
      </c>
      <c r="J22" s="9" t="s">
        <v>13</v>
      </c>
      <c r="K22" s="10">
        <v>200</v>
      </c>
      <c r="L22" s="16">
        <f ca="1">SUMIFS(Tabla_Gastos3[MONTO],Tabla_Gastos3[FECHA],"&gt;="&amp;$C$1,Tabla_Gastos3[FECHA],"&lt;="&amp;$D$1,Tabla_Gastos3[CATEGORIA],J22)</f>
        <v>200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15</v>
      </c>
      <c r="G23" s="10">
        <v>50</v>
      </c>
      <c r="H23" s="11">
        <v>50</v>
      </c>
      <c r="J23" s="9"/>
      <c r="K23" s="10"/>
      <c r="L23" s="16">
        <f ca="1">SUMIFS(Tabla_Gastos3[MONTO],Tabla_Gastos3[FECHA],"&gt;="&amp;$C$1,Tabla_Gastos3[FECHA],"&lt;="&amp;$D$1,Tabla_Gastos3[CATEGORIA],J23)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/>
      <c r="G24" s="10"/>
      <c r="H24" s="11"/>
      <c r="J24" s="9"/>
      <c r="K24" s="10"/>
      <c r="L24" s="16">
        <f ca="1">SUMIFS(Tabla_Gastos3[MONTO],Tabla_Gastos3[FECHA],"&gt;="&amp;$C$1,Tabla_Gastos3[FECHA],"&lt;="&amp;$D$1,Tabla_Gastos3[CATEGORIA],J24)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SUMIFS(Tabla_Gastos3[MONTO],Tabla_Gastos3[FECHA],"&gt;="&amp;$C$1,Tabla_Gastos3[FECHA],"&lt;="&amp;$D$1,Tabla_Gastos3[CATEGORIA],J25)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10300</v>
      </c>
      <c r="D26" s="5">
        <f>SUM(D14:D25)</f>
        <v>9270</v>
      </c>
      <c r="F26" s="9"/>
      <c r="G26" s="10"/>
      <c r="H26" s="11"/>
      <c r="J26" s="9"/>
      <c r="K26" s="10"/>
      <c r="L26" s="16">
        <f ca="1">SUMIFS(Tabla_Gastos3[MONTO],Tabla_Gastos3[FECHA],"&gt;="&amp;$C$1,Tabla_Gastos3[FECHA],"&lt;="&amp;$D$1,Tabla_Gastos3[CATEGORIA],J26)</f>
        <v>0</v>
      </c>
      <c r="N26" s="6" t="s">
        <v>3</v>
      </c>
      <c r="O26" s="7">
        <f>SUM(O14:O25)</f>
        <v>1175</v>
      </c>
      <c r="P26" s="7">
        <f>SUM(P14:P25)</f>
        <v>1075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1030</v>
      </c>
      <c r="F27" s="9"/>
      <c r="G27" s="10"/>
      <c r="H27" s="11"/>
      <c r="J27" s="9"/>
      <c r="K27" s="10"/>
      <c r="L27" s="16">
        <f ca="1">SUMIFS(Tabla_Gastos3[MONTO],Tabla_Gastos3[FECHA],"&gt;="&amp;$C$1,Tabla_Gastos3[FECHA],"&lt;="&amp;$D$1,Tabla_Gastos3[CATEGORIA],J27)</f>
        <v>0</v>
      </c>
      <c r="N27" s="31" t="s">
        <v>57</v>
      </c>
      <c r="O27" s="31"/>
      <c r="P27" s="8">
        <f>O26-P26</f>
        <v>100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SUMIFS(Tabla_Gastos3[MONTO],Tabla_Gastos3[FECHA],"&gt;="&amp;$C$1,Tabla_Gastos3[FECHA],"&lt;="&amp;$D$1,Tabla_Gastos3[CATEGORIA],J28)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SUMIFS(Tabla_Gastos3[MONTO],Tabla_Gastos3[FECHA],"&gt;="&amp;$C$1,Tabla_Gastos3[FECHA],"&lt;="&amp;$D$1,Tabla_Gastos3[CATEGORIA],J29)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>
        <v>500</v>
      </c>
      <c r="D30" s="11">
        <v>400</v>
      </c>
      <c r="F30" s="9"/>
      <c r="G30" s="10"/>
      <c r="H30" s="11"/>
      <c r="J30" s="9"/>
      <c r="K30" s="10"/>
      <c r="L30" s="16">
        <f ca="1">SUMIFS(Tabla_Gastos3[MONTO],Tabla_Gastos3[FECHA],"&gt;="&amp;$C$1,Tabla_Gastos3[FECHA],"&lt;="&amp;$D$1,Tabla_Gastos3[CATEGORIA],J30)</f>
        <v>0</v>
      </c>
      <c r="N30" s="9" t="s">
        <v>33</v>
      </c>
      <c r="O30" s="10">
        <v>400</v>
      </c>
      <c r="P30" s="11">
        <v>200</v>
      </c>
      <c r="R30" s="12"/>
      <c r="S30" s="13"/>
      <c r="T30" s="13"/>
      <c r="U30" s="14"/>
    </row>
    <row r="31" spans="2:21" x14ac:dyDescent="0.3">
      <c r="B31" s="9" t="s">
        <v>36</v>
      </c>
      <c r="C31" s="10">
        <v>200</v>
      </c>
      <c r="D31" s="11">
        <v>300</v>
      </c>
      <c r="F31" s="9"/>
      <c r="G31" s="10"/>
      <c r="H31" s="11"/>
      <c r="J31" s="9"/>
      <c r="K31" s="10"/>
      <c r="L31" s="16">
        <f ca="1">SUMIFS(Tabla_Gastos3[MONTO],Tabla_Gastos3[FECHA],"&gt;="&amp;$C$1,Tabla_Gastos3[FECHA],"&lt;="&amp;$D$1,Tabla_Gastos3[CATEGORIA],J31)</f>
        <v>0</v>
      </c>
      <c r="N31" s="9" t="s">
        <v>34</v>
      </c>
      <c r="O31" s="10">
        <v>100</v>
      </c>
      <c r="P31" s="11">
        <v>100</v>
      </c>
      <c r="R31" s="12"/>
      <c r="S31" s="13"/>
      <c r="T31" s="13"/>
      <c r="U31" s="14"/>
    </row>
    <row r="32" spans="2:21" x14ac:dyDescent="0.3">
      <c r="B32" s="9" t="s">
        <v>37</v>
      </c>
      <c r="C32" s="10">
        <v>1500</v>
      </c>
      <c r="D32" s="11">
        <v>1600</v>
      </c>
      <c r="F32" s="9"/>
      <c r="G32" s="10"/>
      <c r="H32" s="11"/>
      <c r="J32" s="9"/>
      <c r="K32" s="10"/>
      <c r="L32" s="16">
        <f ca="1">SUMIFS(Tabla_Gastos3[MONTO],Tabla_Gastos3[FECHA],"&gt;="&amp;$C$1,Tabla_Gastos3[FECHA],"&lt;="&amp;$D$1,Tabla_Gastos3[CATEGORIA],J32)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>
        <v>2000</v>
      </c>
      <c r="D33" s="11">
        <v>1800</v>
      </c>
      <c r="F33" s="9"/>
      <c r="G33" s="10"/>
      <c r="H33" s="11"/>
      <c r="J33" s="9"/>
      <c r="K33" s="10"/>
      <c r="L33" s="16">
        <f ca="1">SUMIFS(Tabla_Gastos3[MONTO],Tabla_Gastos3[FECHA],"&gt;="&amp;$C$1,Tabla_Gastos3[FECHA],"&lt;="&amp;$D$1,Tabla_Gastos3[CATEGORIA],J33)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SUMIFS(Tabla_Gastos3[MONTO],Tabla_Gastos3[FECHA],"&gt;="&amp;$C$1,Tabla_Gastos3[FECHA],"&lt;="&amp;$D$1,Tabla_Gastos3[CATEGORIA],J34)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SUMIFS(Tabla_Gastos3[MONTO],Tabla_Gastos3[FECHA],"&gt;="&amp;$C$1,Tabla_Gastos3[FECHA],"&lt;="&amp;$D$1,Tabla_Gastos3[CATEGORIA],J35)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SUMIFS(Tabla_Gastos3[MONTO],Tabla_Gastos3[FECHA],"&gt;="&amp;$C$1,Tabla_Gastos3[FECHA],"&lt;="&amp;$D$1,Tabla_Gastos3[CATEGORIA],J36)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SUMIFS(Tabla_Gastos3[MONTO],Tabla_Gastos3[FECHA],"&gt;="&amp;$C$1,Tabla_Gastos3[FECHA],"&lt;="&amp;$D$1,Tabla_Gastos3[CATEGORIA],J37)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SUMIFS(Tabla_Gastos3[MONTO],Tabla_Gastos3[FECHA],"&gt;="&amp;$C$1,Tabla_Gastos3[FECHA],"&lt;="&amp;$D$1,Tabla_Gastos3[CATEGORIA],J38)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SUMIFS(Tabla_Gastos3[MONTO],Tabla_Gastos3[FECHA],"&gt;="&amp;$C$1,Tabla_Gastos3[FECHA],"&lt;="&amp;$D$1,Tabla_Gastos3[CATEGORIA],J39)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SUMIFS(Tabla_Gastos3[MONTO],Tabla_Gastos3[FECHA],"&gt;="&amp;$C$1,Tabla_Gastos3[FECHA],"&lt;="&amp;$D$1,Tabla_Gastos3[CATEGORIA],J40)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SUMIFS(Tabla_Gastos3[MONTO],Tabla_Gastos3[FECHA],"&gt;="&amp;$C$1,Tabla_Gastos3[FECHA],"&lt;="&amp;$D$1,Tabla_Gastos3[CATEGORIA],J41)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4200</v>
      </c>
      <c r="D42" s="7">
        <f>SUM(D30:D41)</f>
        <v>4100</v>
      </c>
      <c r="F42" s="6" t="s">
        <v>3</v>
      </c>
      <c r="G42" s="7">
        <f>SUM(G14:G41)</f>
        <v>1730</v>
      </c>
      <c r="H42" s="7">
        <f>SUM(H14:H41)</f>
        <v>1685</v>
      </c>
      <c r="J42" s="6" t="s">
        <v>3</v>
      </c>
      <c r="K42" s="7">
        <f>SUM(K14:K41)</f>
        <v>1630</v>
      </c>
      <c r="L42" s="7">
        <f ca="1">SUM(L14:L41)</f>
        <v>1355</v>
      </c>
      <c r="N42" s="6" t="s">
        <v>3</v>
      </c>
      <c r="O42" s="7">
        <f>SUM(O30:O41)</f>
        <v>500</v>
      </c>
      <c r="P42" s="7">
        <f>SUM(P30:P41)</f>
        <v>300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100</v>
      </c>
      <c r="F43" s="31" t="s">
        <v>57</v>
      </c>
      <c r="G43" s="31"/>
      <c r="H43" s="8">
        <f>G42-H42</f>
        <v>45</v>
      </c>
      <c r="J43" s="31" t="s">
        <v>57</v>
      </c>
      <c r="K43" s="31"/>
      <c r="L43" s="8">
        <f ca="1">K42-L42</f>
        <v>275</v>
      </c>
      <c r="N43" s="31" t="s">
        <v>57</v>
      </c>
      <c r="O43" s="31"/>
      <c r="P43" s="8">
        <f>O42-P42</f>
        <v>200</v>
      </c>
      <c r="R43" s="12"/>
      <c r="S43" s="12"/>
      <c r="T43" s="13"/>
      <c r="U43" s="14"/>
    </row>
  </sheetData>
  <sheetProtection algorithmName="SHA-512" hashValue="PEPdG/5btowTl3g3AgGzKvMXV2is3WjNEgq0qevYXiND2sm2MpF2EiLPY7TqgXulz400WVjoa/Yib6EMlp5Pmg==" saltValue="4Gjq/0cT+vZR2y6VRFAp5Q==" spinCount="100000" sheet="1" objects="1" scenarios="1" selectLockedCells="1"/>
  <mergeCells count="22">
    <mergeCell ref="R2:U3"/>
    <mergeCell ref="B43:C43"/>
    <mergeCell ref="F43:G43"/>
    <mergeCell ref="J43:K43"/>
    <mergeCell ref="N43:O43"/>
    <mergeCell ref="B27:C27"/>
    <mergeCell ref="N27:O27"/>
    <mergeCell ref="B4:D5"/>
    <mergeCell ref="F1:H2"/>
    <mergeCell ref="B11:C11"/>
    <mergeCell ref="F11:G11"/>
    <mergeCell ref="J10:J11"/>
    <mergeCell ref="K10:K11"/>
    <mergeCell ref="B2:D3"/>
    <mergeCell ref="J2:J3"/>
    <mergeCell ref="J4:J5"/>
    <mergeCell ref="J6:J7"/>
    <mergeCell ref="J8:J9"/>
    <mergeCell ref="K2:K3"/>
    <mergeCell ref="K4:K5"/>
    <mergeCell ref="K6:K7"/>
    <mergeCell ref="K8:K9"/>
  </mergeCells>
  <conditionalFormatting sqref="C7:D10">
    <cfRule type="cellIs" dxfId="119" priority="21" operator="lessThan">
      <formula>0</formula>
    </cfRule>
  </conditionalFormatting>
  <conditionalFormatting sqref="D11">
    <cfRule type="cellIs" dxfId="118" priority="2" operator="lessThan">
      <formula>0</formula>
    </cfRule>
  </conditionalFormatting>
  <conditionalFormatting sqref="D27">
    <cfRule type="cellIs" dxfId="117" priority="4" operator="lessThan">
      <formula>0</formula>
    </cfRule>
  </conditionalFormatting>
  <conditionalFormatting sqref="D43">
    <cfRule type="cellIs" dxfId="116" priority="17" operator="lessThan">
      <formula>0</formula>
    </cfRule>
  </conditionalFormatting>
  <conditionalFormatting sqref="G4:H10">
    <cfRule type="cellIs" dxfId="115" priority="19" operator="lessThan">
      <formula>0</formula>
    </cfRule>
  </conditionalFormatting>
  <conditionalFormatting sqref="H11">
    <cfRule type="cellIs" dxfId="114" priority="1" operator="lessThan">
      <formula>0</formula>
    </cfRule>
  </conditionalFormatting>
  <conditionalFormatting sqref="H43">
    <cfRule type="cellIs" dxfId="113" priority="7" operator="lessThan">
      <formula>0</formula>
    </cfRule>
  </conditionalFormatting>
  <conditionalFormatting sqref="L43">
    <cfRule type="cellIs" dxfId="112" priority="6" operator="lessThan">
      <formula>0</formula>
    </cfRule>
  </conditionalFormatting>
  <conditionalFormatting sqref="P27">
    <cfRule type="cellIs" dxfId="111" priority="3" operator="lessThan">
      <formula>0</formula>
    </cfRule>
  </conditionalFormatting>
  <conditionalFormatting sqref="P43">
    <cfRule type="cellIs" dxfId="110" priority="5" operator="lessThan">
      <formula>0</formula>
    </cfRule>
  </conditionalFormatting>
  <dataValidations count="1">
    <dataValidation type="list" allowBlank="1" showInputMessage="1" showErrorMessage="1" sqref="S6:S43" xr:uid="{A56F48C3-31C8-43AE-916F-487B1E271B0A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941A-3296-45F6-9C20-35FAE180B4FF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44958</v>
      </c>
      <c r="D1" s="2">
        <f ca="1">EOMONTH(C1,0)</f>
        <v>44985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febrero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SUMIFS(Tabla_Gastos36[MONTO],Tabla_Gastos36[FECHA],"&gt;="&amp;$C$1,Tabla_Gastos36[FECHA],"&lt;="&amp;$D$1,Tabla_Gastos36[CATEGORIA],J14)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SUMIFS(Tabla_Gastos36[MONTO],Tabla_Gastos36[FECHA],"&gt;="&amp;$C$1,Tabla_Gastos36[FECHA],"&lt;="&amp;$D$1,Tabla_Gastos36[CATEGORIA],J15)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SUMIFS(Tabla_Gastos36[MONTO],Tabla_Gastos36[FECHA],"&gt;="&amp;$C$1,Tabla_Gastos36[FECHA],"&lt;="&amp;$D$1,Tabla_Gastos36[CATEGORIA],J16)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SUMIFS(Tabla_Gastos36[MONTO],Tabla_Gastos36[FECHA],"&gt;="&amp;$C$1,Tabla_Gastos36[FECHA],"&lt;="&amp;$D$1,Tabla_Gastos36[CATEGORIA],J17)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SUMIFS(Tabla_Gastos36[MONTO],Tabla_Gastos36[FECHA],"&gt;="&amp;$C$1,Tabla_Gastos36[FECHA],"&lt;="&amp;$D$1,Tabla_Gastos36[CATEGORIA],J18)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SUMIFS(Tabla_Gastos36[MONTO],Tabla_Gastos36[FECHA],"&gt;="&amp;$C$1,Tabla_Gastos36[FECHA],"&lt;="&amp;$D$1,Tabla_Gastos36[CATEGORIA],J19)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SUMIFS(Tabla_Gastos36[MONTO],Tabla_Gastos36[FECHA],"&gt;="&amp;$C$1,Tabla_Gastos36[FECHA],"&lt;="&amp;$D$1,Tabla_Gastos36[CATEGORIA],J20)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SUMIFS(Tabla_Gastos36[MONTO],Tabla_Gastos36[FECHA],"&gt;="&amp;$C$1,Tabla_Gastos36[FECHA],"&lt;="&amp;$D$1,Tabla_Gastos36[CATEGORIA],J21)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SUMIFS(Tabla_Gastos36[MONTO],Tabla_Gastos36[FECHA],"&gt;="&amp;$C$1,Tabla_Gastos36[FECHA],"&lt;="&amp;$D$1,Tabla_Gastos36[CATEGORIA],J22)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SUMIFS(Tabla_Gastos36[MONTO],Tabla_Gastos36[FECHA],"&gt;="&amp;$C$1,Tabla_Gastos36[FECHA],"&lt;="&amp;$D$1,Tabla_Gastos36[CATEGORIA],J23)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SUMIFS(Tabla_Gastos36[MONTO],Tabla_Gastos36[FECHA],"&gt;="&amp;$C$1,Tabla_Gastos36[FECHA],"&lt;="&amp;$D$1,Tabla_Gastos36[CATEGORIA],J24)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SUMIFS(Tabla_Gastos36[MONTO],Tabla_Gastos36[FECHA],"&gt;="&amp;$C$1,Tabla_Gastos36[FECHA],"&lt;="&amp;$D$1,Tabla_Gastos36[CATEGORIA],J25)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SUMIFS(Tabla_Gastos36[MONTO],Tabla_Gastos36[FECHA],"&gt;="&amp;$C$1,Tabla_Gastos36[FECHA],"&lt;="&amp;$D$1,Tabla_Gastos36[CATEGORIA],J26)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SUMIFS(Tabla_Gastos36[MONTO],Tabla_Gastos36[FECHA],"&gt;="&amp;$C$1,Tabla_Gastos36[FECHA],"&lt;="&amp;$D$1,Tabla_Gastos36[CATEGORIA],J28)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SUMIFS(Tabla_Gastos36[MONTO],Tabla_Gastos36[FECHA],"&gt;="&amp;$C$1,Tabla_Gastos36[FECHA],"&lt;="&amp;$D$1,Tabla_Gastos36[CATEGORIA],J29)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SUMIFS(Tabla_Gastos36[MONTO],Tabla_Gastos36[FECHA],"&gt;="&amp;$C$1,Tabla_Gastos36[FECHA],"&lt;="&amp;$D$1,Tabla_Gastos36[CATEGORIA],J30)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SUMIFS(Tabla_Gastos36[MONTO],Tabla_Gastos36[FECHA],"&gt;="&amp;$C$1,Tabla_Gastos36[FECHA],"&lt;="&amp;$D$1,Tabla_Gastos36[CATEGORIA],J31)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SUMIFS(Tabla_Gastos36[MONTO],Tabla_Gastos36[FECHA],"&gt;="&amp;$C$1,Tabla_Gastos36[FECHA],"&lt;="&amp;$D$1,Tabla_Gastos36[CATEGORIA],J32)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SUMIFS(Tabla_Gastos36[MONTO],Tabla_Gastos36[FECHA],"&gt;="&amp;$C$1,Tabla_Gastos36[FECHA],"&lt;="&amp;$D$1,Tabla_Gastos36[CATEGORIA],J33)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SUMIFS(Tabla_Gastos36[MONTO],Tabla_Gastos36[FECHA],"&gt;="&amp;$C$1,Tabla_Gastos36[FECHA],"&lt;="&amp;$D$1,Tabla_Gastos36[CATEGORIA],J34)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SUMIFS(Tabla_Gastos36[MONTO],Tabla_Gastos36[FECHA],"&gt;="&amp;$C$1,Tabla_Gastos36[FECHA],"&lt;="&amp;$D$1,Tabla_Gastos36[CATEGORIA],J35)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SUMIFS(Tabla_Gastos36[MONTO],Tabla_Gastos36[FECHA],"&gt;="&amp;$C$1,Tabla_Gastos36[FECHA],"&lt;="&amp;$D$1,Tabla_Gastos36[CATEGORIA],J36)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SUMIFS(Tabla_Gastos36[MONTO],Tabla_Gastos36[FECHA],"&gt;="&amp;$C$1,Tabla_Gastos36[FECHA],"&lt;="&amp;$D$1,Tabla_Gastos36[CATEGORIA],J37)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SUMIFS(Tabla_Gastos36[MONTO],Tabla_Gastos36[FECHA],"&gt;="&amp;$C$1,Tabla_Gastos36[FECHA],"&lt;="&amp;$D$1,Tabla_Gastos36[CATEGORIA],J38)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SUMIFS(Tabla_Gastos36[MONTO],Tabla_Gastos36[FECHA],"&gt;="&amp;$C$1,Tabla_Gastos36[FECHA],"&lt;="&amp;$D$1,Tabla_Gastos36[CATEGORIA],J39)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SUMIFS(Tabla_Gastos36[MONTO],Tabla_Gastos36[FECHA],"&gt;="&amp;$C$1,Tabla_Gastos36[FECHA],"&lt;="&amp;$D$1,Tabla_Gastos36[CATEGORIA],J40)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SUMIFS(Tabla_Gastos36[MONTO],Tabla_Gastos36[FECHA],"&gt;="&amp;$C$1,Tabla_Gastos36[FECHA],"&lt;="&amp;$D$1,Tabla_Gastos36[CATEGORIA],J41)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JQGMGFxKnFZGs6OUo4ZjzzpsmlQVV3KtCwQgmRu5CG5hYLdeoWJKcjXcNA4wr0yqfeMINwOj7D+VNVZoQcKIQA==" saltValue="Hdx6+61zNVpYwQtYFrsNgw==" spinCount="100000" sheet="1" objects="1" scenarios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109" priority="11" operator="lessThan">
      <formula>0</formula>
    </cfRule>
  </conditionalFormatting>
  <conditionalFormatting sqref="D11">
    <cfRule type="cellIs" dxfId="108" priority="2" operator="lessThan">
      <formula>0</formula>
    </cfRule>
  </conditionalFormatting>
  <conditionalFormatting sqref="D27">
    <cfRule type="cellIs" dxfId="107" priority="4" operator="lessThan">
      <formula>0</formula>
    </cfRule>
  </conditionalFormatting>
  <conditionalFormatting sqref="D43">
    <cfRule type="cellIs" dxfId="106" priority="8" operator="lessThan">
      <formula>0</formula>
    </cfRule>
  </conditionalFormatting>
  <conditionalFormatting sqref="G4:H10">
    <cfRule type="cellIs" dxfId="105" priority="9" operator="lessThan">
      <formula>0</formula>
    </cfRule>
  </conditionalFormatting>
  <conditionalFormatting sqref="H11">
    <cfRule type="cellIs" dxfId="104" priority="1" operator="lessThan">
      <formula>0</formula>
    </cfRule>
  </conditionalFormatting>
  <conditionalFormatting sqref="H43">
    <cfRule type="cellIs" dxfId="103" priority="7" operator="lessThan">
      <formula>0</formula>
    </cfRule>
  </conditionalFormatting>
  <conditionalFormatting sqref="L43">
    <cfRule type="cellIs" dxfId="102" priority="6" operator="lessThan">
      <formula>0</formula>
    </cfRule>
  </conditionalFormatting>
  <conditionalFormatting sqref="P27">
    <cfRule type="cellIs" dxfId="101" priority="3" operator="lessThan">
      <formula>0</formula>
    </cfRule>
  </conditionalFormatting>
  <conditionalFormatting sqref="P43">
    <cfRule type="cellIs" dxfId="100" priority="5" operator="lessThan">
      <formula>0</formula>
    </cfRule>
  </conditionalFormatting>
  <dataValidations count="1">
    <dataValidation type="list" allowBlank="1" showInputMessage="1" showErrorMessage="1" sqref="S6:S43" xr:uid="{829D163E-756F-42DC-BF5C-22F72D099D22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7778-7258-484A-8C6B-1A883C6E3A8E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44986</v>
      </c>
      <c r="D1" s="2">
        <f ca="1">EOMONTH(C1,0)</f>
        <v>45016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marzo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SUMIFS(Tabla_Gastos367[MONTO],Tabla_Gastos367[FECHA],"&gt;="&amp;$C$1,Tabla_Gastos367[FECHA],"&lt;="&amp;$D$1,Tabla_Gastos367[CATEGORIA],J14)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SUMIFS(Tabla_Gastos367[MONTO],Tabla_Gastos367[FECHA],"&gt;="&amp;$C$1,Tabla_Gastos367[FECHA],"&lt;="&amp;$D$1,Tabla_Gastos367[CATEGORIA],J15)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SUMIFS(Tabla_Gastos367[MONTO],Tabla_Gastos367[FECHA],"&gt;="&amp;$C$1,Tabla_Gastos367[FECHA],"&lt;="&amp;$D$1,Tabla_Gastos367[CATEGORIA],J16)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SUMIFS(Tabla_Gastos367[MONTO],Tabla_Gastos367[FECHA],"&gt;="&amp;$C$1,Tabla_Gastos367[FECHA],"&lt;="&amp;$D$1,Tabla_Gastos367[CATEGORIA],J17)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SUMIFS(Tabla_Gastos367[MONTO],Tabla_Gastos367[FECHA],"&gt;="&amp;$C$1,Tabla_Gastos367[FECHA],"&lt;="&amp;$D$1,Tabla_Gastos367[CATEGORIA],J18)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SUMIFS(Tabla_Gastos367[MONTO],Tabla_Gastos367[FECHA],"&gt;="&amp;$C$1,Tabla_Gastos367[FECHA],"&lt;="&amp;$D$1,Tabla_Gastos367[CATEGORIA],J19)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SUMIFS(Tabla_Gastos367[MONTO],Tabla_Gastos367[FECHA],"&gt;="&amp;$C$1,Tabla_Gastos367[FECHA],"&lt;="&amp;$D$1,Tabla_Gastos367[CATEGORIA],J20)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SUMIFS(Tabla_Gastos367[MONTO],Tabla_Gastos367[FECHA],"&gt;="&amp;$C$1,Tabla_Gastos367[FECHA],"&lt;="&amp;$D$1,Tabla_Gastos367[CATEGORIA],J21)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SUMIFS(Tabla_Gastos367[MONTO],Tabla_Gastos367[FECHA],"&gt;="&amp;$C$1,Tabla_Gastos367[FECHA],"&lt;="&amp;$D$1,Tabla_Gastos367[CATEGORIA],J22)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SUMIFS(Tabla_Gastos367[MONTO],Tabla_Gastos367[FECHA],"&gt;="&amp;$C$1,Tabla_Gastos367[FECHA],"&lt;="&amp;$D$1,Tabla_Gastos367[CATEGORIA],J23)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SUMIFS(Tabla_Gastos367[MONTO],Tabla_Gastos367[FECHA],"&gt;="&amp;$C$1,Tabla_Gastos367[FECHA],"&lt;="&amp;$D$1,Tabla_Gastos367[CATEGORIA],J24)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SUMIFS(Tabla_Gastos367[MONTO],Tabla_Gastos367[FECHA],"&gt;="&amp;$C$1,Tabla_Gastos367[FECHA],"&lt;="&amp;$D$1,Tabla_Gastos367[CATEGORIA],J25)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SUMIFS(Tabla_Gastos367[MONTO],Tabla_Gastos367[FECHA],"&gt;="&amp;$C$1,Tabla_Gastos367[FECHA],"&lt;="&amp;$D$1,Tabla_Gastos367[CATEGORIA],J26)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SUMIFS(Tabla_Gastos367[MONTO],Tabla_Gastos367[FECHA],"&gt;="&amp;$C$1,Tabla_Gastos367[FECHA],"&lt;="&amp;$D$1,Tabla_Gastos367[CATEGORIA],J28)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SUMIFS(Tabla_Gastos367[MONTO],Tabla_Gastos367[FECHA],"&gt;="&amp;$C$1,Tabla_Gastos367[FECHA],"&lt;="&amp;$D$1,Tabla_Gastos367[CATEGORIA],J29)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SUMIFS(Tabla_Gastos367[MONTO],Tabla_Gastos367[FECHA],"&gt;="&amp;$C$1,Tabla_Gastos367[FECHA],"&lt;="&amp;$D$1,Tabla_Gastos367[CATEGORIA],J30)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SUMIFS(Tabla_Gastos367[MONTO],Tabla_Gastos367[FECHA],"&gt;="&amp;$C$1,Tabla_Gastos367[FECHA],"&lt;="&amp;$D$1,Tabla_Gastos367[CATEGORIA],J31)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SUMIFS(Tabla_Gastos367[MONTO],Tabla_Gastos367[FECHA],"&gt;="&amp;$C$1,Tabla_Gastos367[FECHA],"&lt;="&amp;$D$1,Tabla_Gastos367[CATEGORIA],J32)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SUMIFS(Tabla_Gastos367[MONTO],Tabla_Gastos367[FECHA],"&gt;="&amp;$C$1,Tabla_Gastos367[FECHA],"&lt;="&amp;$D$1,Tabla_Gastos367[CATEGORIA],J33)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SUMIFS(Tabla_Gastos367[MONTO],Tabla_Gastos367[FECHA],"&gt;="&amp;$C$1,Tabla_Gastos367[FECHA],"&lt;="&amp;$D$1,Tabla_Gastos367[CATEGORIA],J34)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SUMIFS(Tabla_Gastos367[MONTO],Tabla_Gastos367[FECHA],"&gt;="&amp;$C$1,Tabla_Gastos367[FECHA],"&lt;="&amp;$D$1,Tabla_Gastos367[CATEGORIA],J35)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SUMIFS(Tabla_Gastos367[MONTO],Tabla_Gastos367[FECHA],"&gt;="&amp;$C$1,Tabla_Gastos367[FECHA],"&lt;="&amp;$D$1,Tabla_Gastos367[CATEGORIA],J36)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SUMIFS(Tabla_Gastos367[MONTO],Tabla_Gastos367[FECHA],"&gt;="&amp;$C$1,Tabla_Gastos367[FECHA],"&lt;="&amp;$D$1,Tabla_Gastos367[CATEGORIA],J37)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SUMIFS(Tabla_Gastos367[MONTO],Tabla_Gastos367[FECHA],"&gt;="&amp;$C$1,Tabla_Gastos367[FECHA],"&lt;="&amp;$D$1,Tabla_Gastos367[CATEGORIA],J38)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SUMIFS(Tabla_Gastos367[MONTO],Tabla_Gastos367[FECHA],"&gt;="&amp;$C$1,Tabla_Gastos367[FECHA],"&lt;="&amp;$D$1,Tabla_Gastos367[CATEGORIA],J39)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SUMIFS(Tabla_Gastos367[MONTO],Tabla_Gastos367[FECHA],"&gt;="&amp;$C$1,Tabla_Gastos367[FECHA],"&lt;="&amp;$D$1,Tabla_Gastos367[CATEGORIA],J40)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SUMIFS(Tabla_Gastos367[MONTO],Tabla_Gastos367[FECHA],"&gt;="&amp;$C$1,Tabla_Gastos367[FECHA],"&lt;="&amp;$D$1,Tabla_Gastos367[CATEGORIA],J41)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T3m0zaK+62DAxogI0qLdt4UGRYgErJciaqshchG8p/AEqtdXwEM8ahEa/HyZeMqD5efHugEky9Kv6ymcY/lg2Q==" saltValue="50YuoG4ElMi8QHyUMBm6gQ==" spinCount="100000" sheet="1" objects="1" scenarios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99" priority="11" operator="lessThan">
      <formula>0</formula>
    </cfRule>
  </conditionalFormatting>
  <conditionalFormatting sqref="D11">
    <cfRule type="cellIs" dxfId="98" priority="2" operator="lessThan">
      <formula>0</formula>
    </cfRule>
  </conditionalFormatting>
  <conditionalFormatting sqref="D27">
    <cfRule type="cellIs" dxfId="97" priority="4" operator="lessThan">
      <formula>0</formula>
    </cfRule>
  </conditionalFormatting>
  <conditionalFormatting sqref="D43">
    <cfRule type="cellIs" dxfId="96" priority="8" operator="lessThan">
      <formula>0</formula>
    </cfRule>
  </conditionalFormatting>
  <conditionalFormatting sqref="G4:H10">
    <cfRule type="cellIs" dxfId="95" priority="9" operator="lessThan">
      <formula>0</formula>
    </cfRule>
  </conditionalFormatting>
  <conditionalFormatting sqref="H11">
    <cfRule type="cellIs" dxfId="94" priority="1" operator="lessThan">
      <formula>0</formula>
    </cfRule>
  </conditionalFormatting>
  <conditionalFormatting sqref="H43">
    <cfRule type="cellIs" dxfId="93" priority="7" operator="lessThan">
      <formula>0</formula>
    </cfRule>
  </conditionalFormatting>
  <conditionalFormatting sqref="L43">
    <cfRule type="cellIs" dxfId="92" priority="6" operator="lessThan">
      <formula>0</formula>
    </cfRule>
  </conditionalFormatting>
  <conditionalFormatting sqref="P27">
    <cfRule type="cellIs" dxfId="91" priority="3" operator="lessThan">
      <formula>0</formula>
    </cfRule>
  </conditionalFormatting>
  <conditionalFormatting sqref="P43">
    <cfRule type="cellIs" dxfId="90" priority="5" operator="lessThan">
      <formula>0</formula>
    </cfRule>
  </conditionalFormatting>
  <dataValidations count="1">
    <dataValidation type="list" allowBlank="1" showInputMessage="1" showErrorMessage="1" sqref="S6:S43" xr:uid="{6D94B73A-4A73-477C-BD26-339540E89466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11DB-0890-4013-88B4-9A7D11E3D99E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45017</v>
      </c>
      <c r="D1" s="2">
        <f ca="1">EOMONTH(C1,0)</f>
        <v>45046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abril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SUMIFS(Tabla_Gastos3678[MONTO],Tabla_Gastos3678[FECHA],"&gt;="&amp;$C$1,Tabla_Gastos3678[FECHA],"&lt;="&amp;$D$1,Tabla_Gastos3678[CATEGORIA],J14)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SUMIFS(Tabla_Gastos3678[MONTO],Tabla_Gastos3678[FECHA],"&gt;="&amp;$C$1,Tabla_Gastos3678[FECHA],"&lt;="&amp;$D$1,Tabla_Gastos3678[CATEGORIA],J15)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SUMIFS(Tabla_Gastos3678[MONTO],Tabla_Gastos3678[FECHA],"&gt;="&amp;$C$1,Tabla_Gastos3678[FECHA],"&lt;="&amp;$D$1,Tabla_Gastos3678[CATEGORIA],J16)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SUMIFS(Tabla_Gastos3678[MONTO],Tabla_Gastos3678[FECHA],"&gt;="&amp;$C$1,Tabla_Gastos3678[FECHA],"&lt;="&amp;$D$1,Tabla_Gastos3678[CATEGORIA],J17)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SUMIFS(Tabla_Gastos3678[MONTO],Tabla_Gastos3678[FECHA],"&gt;="&amp;$C$1,Tabla_Gastos3678[FECHA],"&lt;="&amp;$D$1,Tabla_Gastos3678[CATEGORIA],J18)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SUMIFS(Tabla_Gastos3678[MONTO],Tabla_Gastos3678[FECHA],"&gt;="&amp;$C$1,Tabla_Gastos3678[FECHA],"&lt;="&amp;$D$1,Tabla_Gastos3678[CATEGORIA],J19)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SUMIFS(Tabla_Gastos3678[MONTO],Tabla_Gastos3678[FECHA],"&gt;="&amp;$C$1,Tabla_Gastos3678[FECHA],"&lt;="&amp;$D$1,Tabla_Gastos3678[CATEGORIA],J20)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SUMIFS(Tabla_Gastos3678[MONTO],Tabla_Gastos3678[FECHA],"&gt;="&amp;$C$1,Tabla_Gastos3678[FECHA],"&lt;="&amp;$D$1,Tabla_Gastos3678[CATEGORIA],J21)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SUMIFS(Tabla_Gastos3678[MONTO],Tabla_Gastos3678[FECHA],"&gt;="&amp;$C$1,Tabla_Gastos3678[FECHA],"&lt;="&amp;$D$1,Tabla_Gastos3678[CATEGORIA],J22)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SUMIFS(Tabla_Gastos3678[MONTO],Tabla_Gastos3678[FECHA],"&gt;="&amp;$C$1,Tabla_Gastos3678[FECHA],"&lt;="&amp;$D$1,Tabla_Gastos3678[CATEGORIA],J23)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SUMIFS(Tabla_Gastos3678[MONTO],Tabla_Gastos3678[FECHA],"&gt;="&amp;$C$1,Tabla_Gastos3678[FECHA],"&lt;="&amp;$D$1,Tabla_Gastos3678[CATEGORIA],J24)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SUMIFS(Tabla_Gastos3678[MONTO],Tabla_Gastos3678[FECHA],"&gt;="&amp;$C$1,Tabla_Gastos3678[FECHA],"&lt;="&amp;$D$1,Tabla_Gastos3678[CATEGORIA],J25)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SUMIFS(Tabla_Gastos3678[MONTO],Tabla_Gastos3678[FECHA],"&gt;="&amp;$C$1,Tabla_Gastos3678[FECHA],"&lt;="&amp;$D$1,Tabla_Gastos3678[CATEGORIA],J26)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SUMIFS(Tabla_Gastos3678[MONTO],Tabla_Gastos3678[FECHA],"&gt;="&amp;$C$1,Tabla_Gastos3678[FECHA],"&lt;="&amp;$D$1,Tabla_Gastos3678[CATEGORIA],J28)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SUMIFS(Tabla_Gastos3678[MONTO],Tabla_Gastos3678[FECHA],"&gt;="&amp;$C$1,Tabla_Gastos3678[FECHA],"&lt;="&amp;$D$1,Tabla_Gastos3678[CATEGORIA],J29)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SUMIFS(Tabla_Gastos3678[MONTO],Tabla_Gastos3678[FECHA],"&gt;="&amp;$C$1,Tabla_Gastos3678[FECHA],"&lt;="&amp;$D$1,Tabla_Gastos3678[CATEGORIA],J30)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SUMIFS(Tabla_Gastos3678[MONTO],Tabla_Gastos3678[FECHA],"&gt;="&amp;$C$1,Tabla_Gastos3678[FECHA],"&lt;="&amp;$D$1,Tabla_Gastos3678[CATEGORIA],J31)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SUMIFS(Tabla_Gastos3678[MONTO],Tabla_Gastos3678[FECHA],"&gt;="&amp;$C$1,Tabla_Gastos3678[FECHA],"&lt;="&amp;$D$1,Tabla_Gastos3678[CATEGORIA],J32)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SUMIFS(Tabla_Gastos3678[MONTO],Tabla_Gastos3678[FECHA],"&gt;="&amp;$C$1,Tabla_Gastos3678[FECHA],"&lt;="&amp;$D$1,Tabla_Gastos3678[CATEGORIA],J33)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SUMIFS(Tabla_Gastos3678[MONTO],Tabla_Gastos3678[FECHA],"&gt;="&amp;$C$1,Tabla_Gastos3678[FECHA],"&lt;="&amp;$D$1,Tabla_Gastos3678[CATEGORIA],J34)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SUMIFS(Tabla_Gastos3678[MONTO],Tabla_Gastos3678[FECHA],"&gt;="&amp;$C$1,Tabla_Gastos3678[FECHA],"&lt;="&amp;$D$1,Tabla_Gastos3678[CATEGORIA],J35)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SUMIFS(Tabla_Gastos3678[MONTO],Tabla_Gastos3678[FECHA],"&gt;="&amp;$C$1,Tabla_Gastos3678[FECHA],"&lt;="&amp;$D$1,Tabla_Gastos3678[CATEGORIA],J36)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SUMIFS(Tabla_Gastos3678[MONTO],Tabla_Gastos3678[FECHA],"&gt;="&amp;$C$1,Tabla_Gastos3678[FECHA],"&lt;="&amp;$D$1,Tabla_Gastos3678[CATEGORIA],J37)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SUMIFS(Tabla_Gastos3678[MONTO],Tabla_Gastos3678[FECHA],"&gt;="&amp;$C$1,Tabla_Gastos3678[FECHA],"&lt;="&amp;$D$1,Tabla_Gastos3678[CATEGORIA],J38)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SUMIFS(Tabla_Gastos3678[MONTO],Tabla_Gastos3678[FECHA],"&gt;="&amp;$C$1,Tabla_Gastos3678[FECHA],"&lt;="&amp;$D$1,Tabla_Gastos3678[CATEGORIA],J39)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SUMIFS(Tabla_Gastos3678[MONTO],Tabla_Gastos3678[FECHA],"&gt;="&amp;$C$1,Tabla_Gastos3678[FECHA],"&lt;="&amp;$D$1,Tabla_Gastos3678[CATEGORIA],J40)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SUMIFS(Tabla_Gastos3678[MONTO],Tabla_Gastos3678[FECHA],"&gt;="&amp;$C$1,Tabla_Gastos3678[FECHA],"&lt;="&amp;$D$1,Tabla_Gastos3678[CATEGORIA],J41)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84itHsMSmUKTqnaZ+LFKNyy5Pfwtof2cGQ0XuwjdDHcKDfMDV26FNIGnLZb2drWS2/Crj0ZS/KWTr+9PPvw1Sw==" saltValue="CLiTMGy36NIXzpQUxy2Lvg==" spinCount="100000" sheet="1" objects="1" scenarios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89" priority="11" operator="lessThan">
      <formula>0</formula>
    </cfRule>
  </conditionalFormatting>
  <conditionalFormatting sqref="D11">
    <cfRule type="cellIs" dxfId="88" priority="2" operator="lessThan">
      <formula>0</formula>
    </cfRule>
  </conditionalFormatting>
  <conditionalFormatting sqref="D27">
    <cfRule type="cellIs" dxfId="87" priority="4" operator="lessThan">
      <formula>0</formula>
    </cfRule>
  </conditionalFormatting>
  <conditionalFormatting sqref="D43">
    <cfRule type="cellIs" dxfId="86" priority="8" operator="lessThan">
      <formula>0</formula>
    </cfRule>
  </conditionalFormatting>
  <conditionalFormatting sqref="G4:H10">
    <cfRule type="cellIs" dxfId="85" priority="9" operator="lessThan">
      <formula>0</formula>
    </cfRule>
  </conditionalFormatting>
  <conditionalFormatting sqref="H11">
    <cfRule type="cellIs" dxfId="84" priority="1" operator="lessThan">
      <formula>0</formula>
    </cfRule>
  </conditionalFormatting>
  <conditionalFormatting sqref="H43">
    <cfRule type="cellIs" dxfId="83" priority="7" operator="lessThan">
      <formula>0</formula>
    </cfRule>
  </conditionalFormatting>
  <conditionalFormatting sqref="L43">
    <cfRule type="cellIs" dxfId="82" priority="6" operator="lessThan">
      <formula>0</formula>
    </cfRule>
  </conditionalFormatting>
  <conditionalFormatting sqref="P27">
    <cfRule type="cellIs" dxfId="81" priority="3" operator="lessThan">
      <formula>0</formula>
    </cfRule>
  </conditionalFormatting>
  <conditionalFormatting sqref="P43">
    <cfRule type="cellIs" dxfId="80" priority="5" operator="lessThan">
      <formula>0</formula>
    </cfRule>
  </conditionalFormatting>
  <dataValidations count="1">
    <dataValidation type="list" allowBlank="1" showInputMessage="1" showErrorMessage="1" sqref="S6:S43" xr:uid="{49D55D04-8509-438A-8EFC-650687F40E8B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4B00-1128-4C11-AF8B-44F5B032DCEA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45047</v>
      </c>
      <c r="D1" s="2">
        <f ca="1">EOMONTH(C1,0)</f>
        <v>45077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mayo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SUMIFS(Tabla_Gastos36789[MONTO],Tabla_Gastos36789[FECHA],"&gt;="&amp;$C$1,Tabla_Gastos36789[FECHA],"&lt;="&amp;$D$1,Tabla_Gastos36789[CATEGORIA],J14)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SUMIFS(Tabla_Gastos36789[MONTO],Tabla_Gastos36789[FECHA],"&gt;="&amp;$C$1,Tabla_Gastos36789[FECHA],"&lt;="&amp;$D$1,Tabla_Gastos36789[CATEGORIA],J15)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SUMIFS(Tabla_Gastos36789[MONTO],Tabla_Gastos36789[FECHA],"&gt;="&amp;$C$1,Tabla_Gastos36789[FECHA],"&lt;="&amp;$D$1,Tabla_Gastos36789[CATEGORIA],J16)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SUMIFS(Tabla_Gastos36789[MONTO],Tabla_Gastos36789[FECHA],"&gt;="&amp;$C$1,Tabla_Gastos36789[FECHA],"&lt;="&amp;$D$1,Tabla_Gastos36789[CATEGORIA],J17)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SUMIFS(Tabla_Gastos36789[MONTO],Tabla_Gastos36789[FECHA],"&gt;="&amp;$C$1,Tabla_Gastos36789[FECHA],"&lt;="&amp;$D$1,Tabla_Gastos36789[CATEGORIA],J18)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SUMIFS(Tabla_Gastos36789[MONTO],Tabla_Gastos36789[FECHA],"&gt;="&amp;$C$1,Tabla_Gastos36789[FECHA],"&lt;="&amp;$D$1,Tabla_Gastos36789[CATEGORIA],J19)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SUMIFS(Tabla_Gastos36789[MONTO],Tabla_Gastos36789[FECHA],"&gt;="&amp;$C$1,Tabla_Gastos36789[FECHA],"&lt;="&amp;$D$1,Tabla_Gastos36789[CATEGORIA],J20)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SUMIFS(Tabla_Gastos36789[MONTO],Tabla_Gastos36789[FECHA],"&gt;="&amp;$C$1,Tabla_Gastos36789[FECHA],"&lt;="&amp;$D$1,Tabla_Gastos36789[CATEGORIA],J21)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SUMIFS(Tabla_Gastos36789[MONTO],Tabla_Gastos36789[FECHA],"&gt;="&amp;$C$1,Tabla_Gastos36789[FECHA],"&lt;="&amp;$D$1,Tabla_Gastos36789[CATEGORIA],J22)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SUMIFS(Tabla_Gastos36789[MONTO],Tabla_Gastos36789[FECHA],"&gt;="&amp;$C$1,Tabla_Gastos36789[FECHA],"&lt;="&amp;$D$1,Tabla_Gastos36789[CATEGORIA],J23)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SUMIFS(Tabla_Gastos36789[MONTO],Tabla_Gastos36789[FECHA],"&gt;="&amp;$C$1,Tabla_Gastos36789[FECHA],"&lt;="&amp;$D$1,Tabla_Gastos36789[CATEGORIA],J24)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SUMIFS(Tabla_Gastos36789[MONTO],Tabla_Gastos36789[FECHA],"&gt;="&amp;$C$1,Tabla_Gastos36789[FECHA],"&lt;="&amp;$D$1,Tabla_Gastos36789[CATEGORIA],J25)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SUMIFS(Tabla_Gastos36789[MONTO],Tabla_Gastos36789[FECHA],"&gt;="&amp;$C$1,Tabla_Gastos36789[FECHA],"&lt;="&amp;$D$1,Tabla_Gastos36789[CATEGORIA],J26)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SUMIFS(Tabla_Gastos36789[MONTO],Tabla_Gastos36789[FECHA],"&gt;="&amp;$C$1,Tabla_Gastos36789[FECHA],"&lt;="&amp;$D$1,Tabla_Gastos36789[CATEGORIA],J28)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SUMIFS(Tabla_Gastos36789[MONTO],Tabla_Gastos36789[FECHA],"&gt;="&amp;$C$1,Tabla_Gastos36789[FECHA],"&lt;="&amp;$D$1,Tabla_Gastos36789[CATEGORIA],J29)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SUMIFS(Tabla_Gastos36789[MONTO],Tabla_Gastos36789[FECHA],"&gt;="&amp;$C$1,Tabla_Gastos36789[FECHA],"&lt;="&amp;$D$1,Tabla_Gastos36789[CATEGORIA],J30)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SUMIFS(Tabla_Gastos36789[MONTO],Tabla_Gastos36789[FECHA],"&gt;="&amp;$C$1,Tabla_Gastos36789[FECHA],"&lt;="&amp;$D$1,Tabla_Gastos36789[CATEGORIA],J31)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SUMIFS(Tabla_Gastos36789[MONTO],Tabla_Gastos36789[FECHA],"&gt;="&amp;$C$1,Tabla_Gastos36789[FECHA],"&lt;="&amp;$D$1,Tabla_Gastos36789[CATEGORIA],J32)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SUMIFS(Tabla_Gastos36789[MONTO],Tabla_Gastos36789[FECHA],"&gt;="&amp;$C$1,Tabla_Gastos36789[FECHA],"&lt;="&amp;$D$1,Tabla_Gastos36789[CATEGORIA],J33)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SUMIFS(Tabla_Gastos36789[MONTO],Tabla_Gastos36789[FECHA],"&gt;="&amp;$C$1,Tabla_Gastos36789[FECHA],"&lt;="&amp;$D$1,Tabla_Gastos36789[CATEGORIA],J34)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SUMIFS(Tabla_Gastos36789[MONTO],Tabla_Gastos36789[FECHA],"&gt;="&amp;$C$1,Tabla_Gastos36789[FECHA],"&lt;="&amp;$D$1,Tabla_Gastos36789[CATEGORIA],J35)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SUMIFS(Tabla_Gastos36789[MONTO],Tabla_Gastos36789[FECHA],"&gt;="&amp;$C$1,Tabla_Gastos36789[FECHA],"&lt;="&amp;$D$1,Tabla_Gastos36789[CATEGORIA],J36)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SUMIFS(Tabla_Gastos36789[MONTO],Tabla_Gastos36789[FECHA],"&gt;="&amp;$C$1,Tabla_Gastos36789[FECHA],"&lt;="&amp;$D$1,Tabla_Gastos36789[CATEGORIA],J37)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SUMIFS(Tabla_Gastos36789[MONTO],Tabla_Gastos36789[FECHA],"&gt;="&amp;$C$1,Tabla_Gastos36789[FECHA],"&lt;="&amp;$D$1,Tabla_Gastos36789[CATEGORIA],J38)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SUMIFS(Tabla_Gastos36789[MONTO],Tabla_Gastos36789[FECHA],"&gt;="&amp;$C$1,Tabla_Gastos36789[FECHA],"&lt;="&amp;$D$1,Tabla_Gastos36789[CATEGORIA],J39)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SUMIFS(Tabla_Gastos36789[MONTO],Tabla_Gastos36789[FECHA],"&gt;="&amp;$C$1,Tabla_Gastos36789[FECHA],"&lt;="&amp;$D$1,Tabla_Gastos36789[CATEGORIA],J40)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SUMIFS(Tabla_Gastos36789[MONTO],Tabla_Gastos36789[FECHA],"&gt;="&amp;$C$1,Tabla_Gastos36789[FECHA],"&lt;="&amp;$D$1,Tabla_Gastos36789[CATEGORIA],J41)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zMbEx5LlhneeInvBLmNcNbaVexVNvJTixXmRUIptGNzbrR4tdrMq/P8W+K5FalryFy3jFOb9iWBpYrLpPa+1+Q==" saltValue="jCkEjnzFb2djBrAzl0UMPQ==" spinCount="100000" sheet="1" objects="1" scenarios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79" priority="11" operator="lessThan">
      <formula>0</formula>
    </cfRule>
  </conditionalFormatting>
  <conditionalFormatting sqref="D11">
    <cfRule type="cellIs" dxfId="78" priority="2" operator="lessThan">
      <formula>0</formula>
    </cfRule>
  </conditionalFormatting>
  <conditionalFormatting sqref="D27">
    <cfRule type="cellIs" dxfId="77" priority="4" operator="lessThan">
      <formula>0</formula>
    </cfRule>
  </conditionalFormatting>
  <conditionalFormatting sqref="D43">
    <cfRule type="cellIs" dxfId="76" priority="8" operator="lessThan">
      <formula>0</formula>
    </cfRule>
  </conditionalFormatting>
  <conditionalFormatting sqref="G4:H10">
    <cfRule type="cellIs" dxfId="75" priority="9" operator="lessThan">
      <formula>0</formula>
    </cfRule>
  </conditionalFormatting>
  <conditionalFormatting sqref="H11">
    <cfRule type="cellIs" dxfId="74" priority="1" operator="lessThan">
      <formula>0</formula>
    </cfRule>
  </conditionalFormatting>
  <conditionalFormatting sqref="H43">
    <cfRule type="cellIs" dxfId="73" priority="7" operator="lessThan">
      <formula>0</formula>
    </cfRule>
  </conditionalFormatting>
  <conditionalFormatting sqref="L43">
    <cfRule type="cellIs" dxfId="72" priority="6" operator="lessThan">
      <formula>0</formula>
    </cfRule>
  </conditionalFormatting>
  <conditionalFormatting sqref="P27">
    <cfRule type="cellIs" dxfId="71" priority="3" operator="lessThan">
      <formula>0</formula>
    </cfRule>
  </conditionalFormatting>
  <conditionalFormatting sqref="P43">
    <cfRule type="cellIs" dxfId="70" priority="5" operator="lessThan">
      <formula>0</formula>
    </cfRule>
  </conditionalFormatting>
  <dataValidations count="1">
    <dataValidation type="list" allowBlank="1" showInputMessage="1" showErrorMessage="1" sqref="S6:S43" xr:uid="{4C7B66CB-0F9B-4EF9-8720-FD56DEAABAB0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9D17-EC68-4DA7-8C41-B23661D57EA9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45078</v>
      </c>
      <c r="D1" s="2">
        <f ca="1">EOMONTH(C1,0)</f>
        <v>45107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junio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SUMIFS(Tabla_Gastos3678910[MONTO],Tabla_Gastos3678910[FECHA],"&gt;="&amp;$C$1,Tabla_Gastos3678910[FECHA],"&lt;="&amp;$D$1,Tabla_Gastos3678910[CATEGORIA],J14)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SUMIFS(Tabla_Gastos3678910[MONTO],Tabla_Gastos3678910[FECHA],"&gt;="&amp;$C$1,Tabla_Gastos3678910[FECHA],"&lt;="&amp;$D$1,Tabla_Gastos3678910[CATEGORIA],J15)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SUMIFS(Tabla_Gastos3678910[MONTO],Tabla_Gastos3678910[FECHA],"&gt;="&amp;$C$1,Tabla_Gastos3678910[FECHA],"&lt;="&amp;$D$1,Tabla_Gastos3678910[CATEGORIA],J16)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SUMIFS(Tabla_Gastos3678910[MONTO],Tabla_Gastos3678910[FECHA],"&gt;="&amp;$C$1,Tabla_Gastos3678910[FECHA],"&lt;="&amp;$D$1,Tabla_Gastos3678910[CATEGORIA],J17)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SUMIFS(Tabla_Gastos3678910[MONTO],Tabla_Gastos3678910[FECHA],"&gt;="&amp;$C$1,Tabla_Gastos3678910[FECHA],"&lt;="&amp;$D$1,Tabla_Gastos3678910[CATEGORIA],J18)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SUMIFS(Tabla_Gastos3678910[MONTO],Tabla_Gastos3678910[FECHA],"&gt;="&amp;$C$1,Tabla_Gastos3678910[FECHA],"&lt;="&amp;$D$1,Tabla_Gastos3678910[CATEGORIA],J19)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SUMIFS(Tabla_Gastos3678910[MONTO],Tabla_Gastos3678910[FECHA],"&gt;="&amp;$C$1,Tabla_Gastos3678910[FECHA],"&lt;="&amp;$D$1,Tabla_Gastos3678910[CATEGORIA],J20)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SUMIFS(Tabla_Gastos3678910[MONTO],Tabla_Gastos3678910[FECHA],"&gt;="&amp;$C$1,Tabla_Gastos3678910[FECHA],"&lt;="&amp;$D$1,Tabla_Gastos3678910[CATEGORIA],J21)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SUMIFS(Tabla_Gastos3678910[MONTO],Tabla_Gastos3678910[FECHA],"&gt;="&amp;$C$1,Tabla_Gastos3678910[FECHA],"&lt;="&amp;$D$1,Tabla_Gastos3678910[CATEGORIA],J22)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SUMIFS(Tabla_Gastos3678910[MONTO],Tabla_Gastos3678910[FECHA],"&gt;="&amp;$C$1,Tabla_Gastos3678910[FECHA],"&lt;="&amp;$D$1,Tabla_Gastos3678910[CATEGORIA],J23)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SUMIFS(Tabla_Gastos3678910[MONTO],Tabla_Gastos3678910[FECHA],"&gt;="&amp;$C$1,Tabla_Gastos3678910[FECHA],"&lt;="&amp;$D$1,Tabla_Gastos3678910[CATEGORIA],J24)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SUMIFS(Tabla_Gastos3678910[MONTO],Tabla_Gastos3678910[FECHA],"&gt;="&amp;$C$1,Tabla_Gastos3678910[FECHA],"&lt;="&amp;$D$1,Tabla_Gastos3678910[CATEGORIA],J25)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SUMIFS(Tabla_Gastos3678910[MONTO],Tabla_Gastos3678910[FECHA],"&gt;="&amp;$C$1,Tabla_Gastos3678910[FECHA],"&lt;="&amp;$D$1,Tabla_Gastos3678910[CATEGORIA],J26)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SUMIFS(Tabla_Gastos3678910[MONTO],Tabla_Gastos3678910[FECHA],"&gt;="&amp;$C$1,Tabla_Gastos3678910[FECHA],"&lt;="&amp;$D$1,Tabla_Gastos3678910[CATEGORIA],J28)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SUMIFS(Tabla_Gastos3678910[MONTO],Tabla_Gastos3678910[FECHA],"&gt;="&amp;$C$1,Tabla_Gastos3678910[FECHA],"&lt;="&amp;$D$1,Tabla_Gastos3678910[CATEGORIA],J29)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SUMIFS(Tabla_Gastos3678910[MONTO],Tabla_Gastos3678910[FECHA],"&gt;="&amp;$C$1,Tabla_Gastos3678910[FECHA],"&lt;="&amp;$D$1,Tabla_Gastos3678910[CATEGORIA],J30)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SUMIFS(Tabla_Gastos3678910[MONTO],Tabla_Gastos3678910[FECHA],"&gt;="&amp;$C$1,Tabla_Gastos3678910[FECHA],"&lt;="&amp;$D$1,Tabla_Gastos3678910[CATEGORIA],J31)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SUMIFS(Tabla_Gastos3678910[MONTO],Tabla_Gastos3678910[FECHA],"&gt;="&amp;$C$1,Tabla_Gastos3678910[FECHA],"&lt;="&amp;$D$1,Tabla_Gastos3678910[CATEGORIA],J32)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SUMIFS(Tabla_Gastos3678910[MONTO],Tabla_Gastos3678910[FECHA],"&gt;="&amp;$C$1,Tabla_Gastos3678910[FECHA],"&lt;="&amp;$D$1,Tabla_Gastos3678910[CATEGORIA],J33)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SUMIFS(Tabla_Gastos3678910[MONTO],Tabla_Gastos3678910[FECHA],"&gt;="&amp;$C$1,Tabla_Gastos3678910[FECHA],"&lt;="&amp;$D$1,Tabla_Gastos3678910[CATEGORIA],J34)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SUMIFS(Tabla_Gastos3678910[MONTO],Tabla_Gastos3678910[FECHA],"&gt;="&amp;$C$1,Tabla_Gastos3678910[FECHA],"&lt;="&amp;$D$1,Tabla_Gastos3678910[CATEGORIA],J35)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SUMIFS(Tabla_Gastos3678910[MONTO],Tabla_Gastos3678910[FECHA],"&gt;="&amp;$C$1,Tabla_Gastos3678910[FECHA],"&lt;="&amp;$D$1,Tabla_Gastos3678910[CATEGORIA],J36)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SUMIFS(Tabla_Gastos3678910[MONTO],Tabla_Gastos3678910[FECHA],"&gt;="&amp;$C$1,Tabla_Gastos3678910[FECHA],"&lt;="&amp;$D$1,Tabla_Gastos3678910[CATEGORIA],J37)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SUMIFS(Tabla_Gastos3678910[MONTO],Tabla_Gastos3678910[FECHA],"&gt;="&amp;$C$1,Tabla_Gastos3678910[FECHA],"&lt;="&amp;$D$1,Tabla_Gastos3678910[CATEGORIA],J38)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SUMIFS(Tabla_Gastos3678910[MONTO],Tabla_Gastos3678910[FECHA],"&gt;="&amp;$C$1,Tabla_Gastos3678910[FECHA],"&lt;="&amp;$D$1,Tabla_Gastos3678910[CATEGORIA],J39)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SUMIFS(Tabla_Gastos3678910[MONTO],Tabla_Gastos3678910[FECHA],"&gt;="&amp;$C$1,Tabla_Gastos3678910[FECHA],"&lt;="&amp;$D$1,Tabla_Gastos3678910[CATEGORIA],J40)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SUMIFS(Tabla_Gastos3678910[MONTO],Tabla_Gastos3678910[FECHA],"&gt;="&amp;$C$1,Tabla_Gastos3678910[FECHA],"&lt;="&amp;$D$1,Tabla_Gastos3678910[CATEGORIA],J41)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TvnTzkM2nRF4mOqqK/Ol+m7DwkeDTaE+eXt2+qk2H6oFmKegLi932FqRLcWiGF39my1Gk+9KlpVRtIrZVJ7YAw==" saltValue="7ZlxtOrcCjgTVQr9s2R0uQ==" spinCount="100000" sheet="1" objects="1" scenarios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69" priority="11" operator="lessThan">
      <formula>0</formula>
    </cfRule>
  </conditionalFormatting>
  <conditionalFormatting sqref="D11">
    <cfRule type="cellIs" dxfId="68" priority="2" operator="lessThan">
      <formula>0</formula>
    </cfRule>
  </conditionalFormatting>
  <conditionalFormatting sqref="D27">
    <cfRule type="cellIs" dxfId="67" priority="4" operator="lessThan">
      <formula>0</formula>
    </cfRule>
  </conditionalFormatting>
  <conditionalFormatting sqref="D43">
    <cfRule type="cellIs" dxfId="66" priority="8" operator="lessThan">
      <formula>0</formula>
    </cfRule>
  </conditionalFormatting>
  <conditionalFormatting sqref="G4:H10">
    <cfRule type="cellIs" dxfId="65" priority="9" operator="lessThan">
      <formula>0</formula>
    </cfRule>
  </conditionalFormatting>
  <conditionalFormatting sqref="H11">
    <cfRule type="cellIs" dxfId="64" priority="1" operator="lessThan">
      <formula>0</formula>
    </cfRule>
  </conditionalFormatting>
  <conditionalFormatting sqref="H43">
    <cfRule type="cellIs" dxfId="63" priority="7" operator="lessThan">
      <formula>0</formula>
    </cfRule>
  </conditionalFormatting>
  <conditionalFormatting sqref="L43">
    <cfRule type="cellIs" dxfId="62" priority="6" operator="lessThan">
      <formula>0</formula>
    </cfRule>
  </conditionalFormatting>
  <conditionalFormatting sqref="P27">
    <cfRule type="cellIs" dxfId="61" priority="3" operator="lessThan">
      <formula>0</formula>
    </cfRule>
  </conditionalFormatting>
  <conditionalFormatting sqref="P43">
    <cfRule type="cellIs" dxfId="60" priority="5" operator="lessThan">
      <formula>0</formula>
    </cfRule>
  </conditionalFormatting>
  <dataValidations count="1">
    <dataValidation type="list" allowBlank="1" showInputMessage="1" showErrorMessage="1" sqref="S6:S43" xr:uid="{A573BF58-E145-4001-A787-660BA1569499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74ED-DB81-4A59-8F79-ED3D145D2344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45108</v>
      </c>
      <c r="D1" s="2">
        <f ca="1">EOMONTH(C1,0)</f>
        <v>45138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julio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SUMIFS(Tabla_Gastos367891011[MONTO],Tabla_Gastos367891011[FECHA],"&gt;="&amp;$C$1,Tabla_Gastos367891011[FECHA],"&lt;="&amp;$D$1,Tabla_Gastos367891011[CATEGORIA],J14)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SUMIFS(Tabla_Gastos367891011[MONTO],Tabla_Gastos367891011[FECHA],"&gt;="&amp;$C$1,Tabla_Gastos367891011[FECHA],"&lt;="&amp;$D$1,Tabla_Gastos367891011[CATEGORIA],J15)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SUMIFS(Tabla_Gastos367891011[MONTO],Tabla_Gastos367891011[FECHA],"&gt;="&amp;$C$1,Tabla_Gastos367891011[FECHA],"&lt;="&amp;$D$1,Tabla_Gastos367891011[CATEGORIA],J16)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SUMIFS(Tabla_Gastos367891011[MONTO],Tabla_Gastos367891011[FECHA],"&gt;="&amp;$C$1,Tabla_Gastos367891011[FECHA],"&lt;="&amp;$D$1,Tabla_Gastos367891011[CATEGORIA],J17)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SUMIFS(Tabla_Gastos367891011[MONTO],Tabla_Gastos367891011[FECHA],"&gt;="&amp;$C$1,Tabla_Gastos367891011[FECHA],"&lt;="&amp;$D$1,Tabla_Gastos367891011[CATEGORIA],J18)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SUMIFS(Tabla_Gastos367891011[MONTO],Tabla_Gastos367891011[FECHA],"&gt;="&amp;$C$1,Tabla_Gastos367891011[FECHA],"&lt;="&amp;$D$1,Tabla_Gastos367891011[CATEGORIA],J19)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SUMIFS(Tabla_Gastos367891011[MONTO],Tabla_Gastos367891011[FECHA],"&gt;="&amp;$C$1,Tabla_Gastos367891011[FECHA],"&lt;="&amp;$D$1,Tabla_Gastos367891011[CATEGORIA],J20)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SUMIFS(Tabla_Gastos367891011[MONTO],Tabla_Gastos367891011[FECHA],"&gt;="&amp;$C$1,Tabla_Gastos367891011[FECHA],"&lt;="&amp;$D$1,Tabla_Gastos367891011[CATEGORIA],J21)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SUMIFS(Tabla_Gastos367891011[MONTO],Tabla_Gastos367891011[FECHA],"&gt;="&amp;$C$1,Tabla_Gastos367891011[FECHA],"&lt;="&amp;$D$1,Tabla_Gastos367891011[CATEGORIA],J22)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SUMIFS(Tabla_Gastos367891011[MONTO],Tabla_Gastos367891011[FECHA],"&gt;="&amp;$C$1,Tabla_Gastos367891011[FECHA],"&lt;="&amp;$D$1,Tabla_Gastos367891011[CATEGORIA],J23)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SUMIFS(Tabla_Gastos367891011[MONTO],Tabla_Gastos367891011[FECHA],"&gt;="&amp;$C$1,Tabla_Gastos367891011[FECHA],"&lt;="&amp;$D$1,Tabla_Gastos367891011[CATEGORIA],J24)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SUMIFS(Tabla_Gastos367891011[MONTO],Tabla_Gastos367891011[FECHA],"&gt;="&amp;$C$1,Tabla_Gastos367891011[FECHA],"&lt;="&amp;$D$1,Tabla_Gastos367891011[CATEGORIA],J25)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SUMIFS(Tabla_Gastos367891011[MONTO],Tabla_Gastos367891011[FECHA],"&gt;="&amp;$C$1,Tabla_Gastos367891011[FECHA],"&lt;="&amp;$D$1,Tabla_Gastos367891011[CATEGORIA],J26)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SUMIFS(Tabla_Gastos367891011[MONTO],Tabla_Gastos367891011[FECHA],"&gt;="&amp;$C$1,Tabla_Gastos367891011[FECHA],"&lt;="&amp;$D$1,Tabla_Gastos367891011[CATEGORIA],J28)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SUMIFS(Tabla_Gastos367891011[MONTO],Tabla_Gastos367891011[FECHA],"&gt;="&amp;$C$1,Tabla_Gastos367891011[FECHA],"&lt;="&amp;$D$1,Tabla_Gastos367891011[CATEGORIA],J29)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SUMIFS(Tabla_Gastos367891011[MONTO],Tabla_Gastos367891011[FECHA],"&gt;="&amp;$C$1,Tabla_Gastos367891011[FECHA],"&lt;="&amp;$D$1,Tabla_Gastos367891011[CATEGORIA],J30)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SUMIFS(Tabla_Gastos367891011[MONTO],Tabla_Gastos367891011[FECHA],"&gt;="&amp;$C$1,Tabla_Gastos367891011[FECHA],"&lt;="&amp;$D$1,Tabla_Gastos367891011[CATEGORIA],J31)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SUMIFS(Tabla_Gastos367891011[MONTO],Tabla_Gastos367891011[FECHA],"&gt;="&amp;$C$1,Tabla_Gastos367891011[FECHA],"&lt;="&amp;$D$1,Tabla_Gastos367891011[CATEGORIA],J32)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SUMIFS(Tabla_Gastos367891011[MONTO],Tabla_Gastos367891011[FECHA],"&gt;="&amp;$C$1,Tabla_Gastos367891011[FECHA],"&lt;="&amp;$D$1,Tabla_Gastos367891011[CATEGORIA],J33)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SUMIFS(Tabla_Gastos367891011[MONTO],Tabla_Gastos367891011[FECHA],"&gt;="&amp;$C$1,Tabla_Gastos367891011[FECHA],"&lt;="&amp;$D$1,Tabla_Gastos367891011[CATEGORIA],J34)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SUMIFS(Tabla_Gastos367891011[MONTO],Tabla_Gastos367891011[FECHA],"&gt;="&amp;$C$1,Tabla_Gastos367891011[FECHA],"&lt;="&amp;$D$1,Tabla_Gastos367891011[CATEGORIA],J35)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SUMIFS(Tabla_Gastos367891011[MONTO],Tabla_Gastos367891011[FECHA],"&gt;="&amp;$C$1,Tabla_Gastos367891011[FECHA],"&lt;="&amp;$D$1,Tabla_Gastos367891011[CATEGORIA],J36)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SUMIFS(Tabla_Gastos367891011[MONTO],Tabla_Gastos367891011[FECHA],"&gt;="&amp;$C$1,Tabla_Gastos367891011[FECHA],"&lt;="&amp;$D$1,Tabla_Gastos367891011[CATEGORIA],J37)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SUMIFS(Tabla_Gastos367891011[MONTO],Tabla_Gastos367891011[FECHA],"&gt;="&amp;$C$1,Tabla_Gastos367891011[FECHA],"&lt;="&amp;$D$1,Tabla_Gastos367891011[CATEGORIA],J38)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SUMIFS(Tabla_Gastos367891011[MONTO],Tabla_Gastos367891011[FECHA],"&gt;="&amp;$C$1,Tabla_Gastos367891011[FECHA],"&lt;="&amp;$D$1,Tabla_Gastos367891011[CATEGORIA],J39)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SUMIFS(Tabla_Gastos367891011[MONTO],Tabla_Gastos367891011[FECHA],"&gt;="&amp;$C$1,Tabla_Gastos367891011[FECHA],"&lt;="&amp;$D$1,Tabla_Gastos367891011[CATEGORIA],J40)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SUMIFS(Tabla_Gastos367891011[MONTO],Tabla_Gastos367891011[FECHA],"&gt;="&amp;$C$1,Tabla_Gastos367891011[FECHA],"&lt;="&amp;$D$1,Tabla_Gastos367891011[CATEGORIA],J41)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h16+ZvC1Xs5Z3mBYsBTiC/lpm8KEQvL1uWcGggamNO5gWRJKpVkKY4lO3+RWe367DWnEGcb/KgLao4mwbm8keg==" saltValue="fZfXVDjM0TtDOi/XcuHT8w==" spinCount="100000" sheet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59" priority="11" operator="lessThan">
      <formula>0</formula>
    </cfRule>
  </conditionalFormatting>
  <conditionalFormatting sqref="D11">
    <cfRule type="cellIs" dxfId="58" priority="2" operator="lessThan">
      <formula>0</formula>
    </cfRule>
  </conditionalFormatting>
  <conditionalFormatting sqref="D27">
    <cfRule type="cellIs" dxfId="57" priority="4" operator="lessThan">
      <formula>0</formula>
    </cfRule>
  </conditionalFormatting>
  <conditionalFormatting sqref="D43">
    <cfRule type="cellIs" dxfId="56" priority="8" operator="lessThan">
      <formula>0</formula>
    </cfRule>
  </conditionalFormatting>
  <conditionalFormatting sqref="G4:H10">
    <cfRule type="cellIs" dxfId="55" priority="9" operator="lessThan">
      <formula>0</formula>
    </cfRule>
  </conditionalFormatting>
  <conditionalFormatting sqref="H11">
    <cfRule type="cellIs" dxfId="54" priority="1" operator="lessThan">
      <formula>0</formula>
    </cfRule>
  </conditionalFormatting>
  <conditionalFormatting sqref="H43">
    <cfRule type="cellIs" dxfId="53" priority="7" operator="lessThan">
      <formula>0</formula>
    </cfRule>
  </conditionalFormatting>
  <conditionalFormatting sqref="L43">
    <cfRule type="cellIs" dxfId="52" priority="6" operator="lessThan">
      <formula>0</formula>
    </cfRule>
  </conditionalFormatting>
  <conditionalFormatting sqref="P27">
    <cfRule type="cellIs" dxfId="51" priority="3" operator="lessThan">
      <formula>0</formula>
    </cfRule>
  </conditionalFormatting>
  <conditionalFormatting sqref="P43">
    <cfRule type="cellIs" dxfId="50" priority="5" operator="lessThan">
      <formula>0</formula>
    </cfRule>
  </conditionalFormatting>
  <dataValidations count="1">
    <dataValidation type="list" allowBlank="1" showInputMessage="1" showErrorMessage="1" sqref="S6:S43" xr:uid="{2F5C7A02-1B1C-42C9-ADA3-EF2C8E6E1218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6E81-2E1A-4E35-85AC-FADD7F0E5F1F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45139</v>
      </c>
      <c r="D1" s="2">
        <f ca="1">EOMONTH(C1,0)</f>
        <v>45169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agosto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SUMIFS(Tabla_Gastos36789101112[MONTO],Tabla_Gastos36789101112[FECHA],"&gt;="&amp;$C$1,Tabla_Gastos36789101112[FECHA],"&lt;="&amp;$D$1,Tabla_Gastos36789101112[CATEGORIA],J14)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SUMIFS(Tabla_Gastos36789101112[MONTO],Tabla_Gastos36789101112[FECHA],"&gt;="&amp;$C$1,Tabla_Gastos36789101112[FECHA],"&lt;="&amp;$D$1,Tabla_Gastos36789101112[CATEGORIA],J15)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SUMIFS(Tabla_Gastos36789101112[MONTO],Tabla_Gastos36789101112[FECHA],"&gt;="&amp;$C$1,Tabla_Gastos36789101112[FECHA],"&lt;="&amp;$D$1,Tabla_Gastos36789101112[CATEGORIA],J16)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SUMIFS(Tabla_Gastos36789101112[MONTO],Tabla_Gastos36789101112[FECHA],"&gt;="&amp;$C$1,Tabla_Gastos36789101112[FECHA],"&lt;="&amp;$D$1,Tabla_Gastos36789101112[CATEGORIA],J17)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SUMIFS(Tabla_Gastos36789101112[MONTO],Tabla_Gastos36789101112[FECHA],"&gt;="&amp;$C$1,Tabla_Gastos36789101112[FECHA],"&lt;="&amp;$D$1,Tabla_Gastos36789101112[CATEGORIA],J18)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SUMIFS(Tabla_Gastos36789101112[MONTO],Tabla_Gastos36789101112[FECHA],"&gt;="&amp;$C$1,Tabla_Gastos36789101112[FECHA],"&lt;="&amp;$D$1,Tabla_Gastos36789101112[CATEGORIA],J19)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SUMIFS(Tabla_Gastos36789101112[MONTO],Tabla_Gastos36789101112[FECHA],"&gt;="&amp;$C$1,Tabla_Gastos36789101112[FECHA],"&lt;="&amp;$D$1,Tabla_Gastos36789101112[CATEGORIA],J20)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SUMIFS(Tabla_Gastos36789101112[MONTO],Tabla_Gastos36789101112[FECHA],"&gt;="&amp;$C$1,Tabla_Gastos36789101112[FECHA],"&lt;="&amp;$D$1,Tabla_Gastos36789101112[CATEGORIA],J21)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SUMIFS(Tabla_Gastos36789101112[MONTO],Tabla_Gastos36789101112[FECHA],"&gt;="&amp;$C$1,Tabla_Gastos36789101112[FECHA],"&lt;="&amp;$D$1,Tabla_Gastos36789101112[CATEGORIA],J22)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SUMIFS(Tabla_Gastos36789101112[MONTO],Tabla_Gastos36789101112[FECHA],"&gt;="&amp;$C$1,Tabla_Gastos36789101112[FECHA],"&lt;="&amp;$D$1,Tabla_Gastos36789101112[CATEGORIA],J23)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SUMIFS(Tabla_Gastos36789101112[MONTO],Tabla_Gastos36789101112[FECHA],"&gt;="&amp;$C$1,Tabla_Gastos36789101112[FECHA],"&lt;="&amp;$D$1,Tabla_Gastos36789101112[CATEGORIA],J24)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SUMIFS(Tabla_Gastos36789101112[MONTO],Tabla_Gastos36789101112[FECHA],"&gt;="&amp;$C$1,Tabla_Gastos36789101112[FECHA],"&lt;="&amp;$D$1,Tabla_Gastos36789101112[CATEGORIA],J25)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SUMIFS(Tabla_Gastos36789101112[MONTO],Tabla_Gastos36789101112[FECHA],"&gt;="&amp;$C$1,Tabla_Gastos36789101112[FECHA],"&lt;="&amp;$D$1,Tabla_Gastos36789101112[CATEGORIA],J26)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SUMIFS(Tabla_Gastos36789101112[MONTO],Tabla_Gastos36789101112[FECHA],"&gt;="&amp;$C$1,Tabla_Gastos36789101112[FECHA],"&lt;="&amp;$D$1,Tabla_Gastos36789101112[CATEGORIA],J28)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SUMIFS(Tabla_Gastos36789101112[MONTO],Tabla_Gastos36789101112[FECHA],"&gt;="&amp;$C$1,Tabla_Gastos36789101112[FECHA],"&lt;="&amp;$D$1,Tabla_Gastos36789101112[CATEGORIA],J29)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SUMIFS(Tabla_Gastos36789101112[MONTO],Tabla_Gastos36789101112[FECHA],"&gt;="&amp;$C$1,Tabla_Gastos36789101112[FECHA],"&lt;="&amp;$D$1,Tabla_Gastos36789101112[CATEGORIA],J30)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SUMIFS(Tabla_Gastos36789101112[MONTO],Tabla_Gastos36789101112[FECHA],"&gt;="&amp;$C$1,Tabla_Gastos36789101112[FECHA],"&lt;="&amp;$D$1,Tabla_Gastos36789101112[CATEGORIA],J31)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SUMIFS(Tabla_Gastos36789101112[MONTO],Tabla_Gastos36789101112[FECHA],"&gt;="&amp;$C$1,Tabla_Gastos36789101112[FECHA],"&lt;="&amp;$D$1,Tabla_Gastos36789101112[CATEGORIA],J32)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SUMIFS(Tabla_Gastos36789101112[MONTO],Tabla_Gastos36789101112[FECHA],"&gt;="&amp;$C$1,Tabla_Gastos36789101112[FECHA],"&lt;="&amp;$D$1,Tabla_Gastos36789101112[CATEGORIA],J33)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SUMIFS(Tabla_Gastos36789101112[MONTO],Tabla_Gastos36789101112[FECHA],"&gt;="&amp;$C$1,Tabla_Gastos36789101112[FECHA],"&lt;="&amp;$D$1,Tabla_Gastos36789101112[CATEGORIA],J34)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SUMIFS(Tabla_Gastos36789101112[MONTO],Tabla_Gastos36789101112[FECHA],"&gt;="&amp;$C$1,Tabla_Gastos36789101112[FECHA],"&lt;="&amp;$D$1,Tabla_Gastos36789101112[CATEGORIA],J35)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SUMIFS(Tabla_Gastos36789101112[MONTO],Tabla_Gastos36789101112[FECHA],"&gt;="&amp;$C$1,Tabla_Gastos36789101112[FECHA],"&lt;="&amp;$D$1,Tabla_Gastos36789101112[CATEGORIA],J36)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SUMIFS(Tabla_Gastos36789101112[MONTO],Tabla_Gastos36789101112[FECHA],"&gt;="&amp;$C$1,Tabla_Gastos36789101112[FECHA],"&lt;="&amp;$D$1,Tabla_Gastos36789101112[CATEGORIA],J37)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SUMIFS(Tabla_Gastos36789101112[MONTO],Tabla_Gastos36789101112[FECHA],"&gt;="&amp;$C$1,Tabla_Gastos36789101112[FECHA],"&lt;="&amp;$D$1,Tabla_Gastos36789101112[CATEGORIA],J38)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SUMIFS(Tabla_Gastos36789101112[MONTO],Tabla_Gastos36789101112[FECHA],"&gt;="&amp;$C$1,Tabla_Gastos36789101112[FECHA],"&lt;="&amp;$D$1,Tabla_Gastos36789101112[CATEGORIA],J39)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SUMIFS(Tabla_Gastos36789101112[MONTO],Tabla_Gastos36789101112[FECHA],"&gt;="&amp;$C$1,Tabla_Gastos36789101112[FECHA],"&lt;="&amp;$D$1,Tabla_Gastos36789101112[CATEGORIA],J40)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SUMIFS(Tabla_Gastos36789101112[MONTO],Tabla_Gastos36789101112[FECHA],"&gt;="&amp;$C$1,Tabla_Gastos36789101112[FECHA],"&lt;="&amp;$D$1,Tabla_Gastos36789101112[CATEGORIA],J41)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L3nhC7gt2AZ7dLyf3QeSfzviCSoolYTiMI9Bzo0peOKUvsiO77iaFFE8Xu4IurP3+0mvDNOA1PGTVcVjn9af7Q==" saltValue="d79seS8PMpPCefbErlNz9w==" spinCount="100000" sheet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49" priority="11" operator="lessThan">
      <formula>0</formula>
    </cfRule>
  </conditionalFormatting>
  <conditionalFormatting sqref="D11">
    <cfRule type="cellIs" dxfId="48" priority="2" operator="lessThan">
      <formula>0</formula>
    </cfRule>
  </conditionalFormatting>
  <conditionalFormatting sqref="D27">
    <cfRule type="cellIs" dxfId="47" priority="4" operator="lessThan">
      <formula>0</formula>
    </cfRule>
  </conditionalFormatting>
  <conditionalFormatting sqref="D43">
    <cfRule type="cellIs" dxfId="46" priority="8" operator="lessThan">
      <formula>0</formula>
    </cfRule>
  </conditionalFormatting>
  <conditionalFormatting sqref="G4:H10">
    <cfRule type="cellIs" dxfId="45" priority="9" operator="lessThan">
      <formula>0</formula>
    </cfRule>
  </conditionalFormatting>
  <conditionalFormatting sqref="H11">
    <cfRule type="cellIs" dxfId="44" priority="1" operator="lessThan">
      <formula>0</formula>
    </cfRule>
  </conditionalFormatting>
  <conditionalFormatting sqref="H43">
    <cfRule type="cellIs" dxfId="43" priority="7" operator="lessThan">
      <formula>0</formula>
    </cfRule>
  </conditionalFormatting>
  <conditionalFormatting sqref="L43">
    <cfRule type="cellIs" dxfId="42" priority="6" operator="lessThan">
      <formula>0</formula>
    </cfRule>
  </conditionalFormatting>
  <conditionalFormatting sqref="P27">
    <cfRule type="cellIs" dxfId="41" priority="3" operator="lessThan">
      <formula>0</formula>
    </cfRule>
  </conditionalFormatting>
  <conditionalFormatting sqref="P43">
    <cfRule type="cellIs" dxfId="40" priority="5" operator="lessThan">
      <formula>0</formula>
    </cfRule>
  </conditionalFormatting>
  <dataValidations count="1">
    <dataValidation type="list" allowBlank="1" showInputMessage="1" showErrorMessage="1" sqref="S6:S43" xr:uid="{FE14A9C2-0993-444C-B4CE-FFE041CC197D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7EC0-FABE-46D7-B3DE-62219749C5E4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45170</v>
      </c>
      <c r="D1" s="2">
        <f ca="1">EOMONTH(C1,0)</f>
        <v>45199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septiembre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SUMIFS(Tabla_Gastos3678910111213[MONTO],Tabla_Gastos3678910111213[FECHA],"&gt;="&amp;$C$1,Tabla_Gastos3678910111213[FECHA],"&lt;="&amp;$D$1,Tabla_Gastos3678910111213[CATEGORIA],J14)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SUMIFS(Tabla_Gastos3678910111213[MONTO],Tabla_Gastos3678910111213[FECHA],"&gt;="&amp;$C$1,Tabla_Gastos3678910111213[FECHA],"&lt;="&amp;$D$1,Tabla_Gastos3678910111213[CATEGORIA],J15)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SUMIFS(Tabla_Gastos3678910111213[MONTO],Tabla_Gastos3678910111213[FECHA],"&gt;="&amp;$C$1,Tabla_Gastos3678910111213[FECHA],"&lt;="&amp;$D$1,Tabla_Gastos3678910111213[CATEGORIA],J16)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SUMIFS(Tabla_Gastos3678910111213[MONTO],Tabla_Gastos3678910111213[FECHA],"&gt;="&amp;$C$1,Tabla_Gastos3678910111213[FECHA],"&lt;="&amp;$D$1,Tabla_Gastos3678910111213[CATEGORIA],J17)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SUMIFS(Tabla_Gastos3678910111213[MONTO],Tabla_Gastos3678910111213[FECHA],"&gt;="&amp;$C$1,Tabla_Gastos3678910111213[FECHA],"&lt;="&amp;$D$1,Tabla_Gastos3678910111213[CATEGORIA],J18)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SUMIFS(Tabla_Gastos3678910111213[MONTO],Tabla_Gastos3678910111213[FECHA],"&gt;="&amp;$C$1,Tabla_Gastos3678910111213[FECHA],"&lt;="&amp;$D$1,Tabla_Gastos3678910111213[CATEGORIA],J19)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SUMIFS(Tabla_Gastos3678910111213[MONTO],Tabla_Gastos3678910111213[FECHA],"&gt;="&amp;$C$1,Tabla_Gastos3678910111213[FECHA],"&lt;="&amp;$D$1,Tabla_Gastos3678910111213[CATEGORIA],J20)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SUMIFS(Tabla_Gastos3678910111213[MONTO],Tabla_Gastos3678910111213[FECHA],"&gt;="&amp;$C$1,Tabla_Gastos3678910111213[FECHA],"&lt;="&amp;$D$1,Tabla_Gastos3678910111213[CATEGORIA],J21)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SUMIFS(Tabla_Gastos3678910111213[MONTO],Tabla_Gastos3678910111213[FECHA],"&gt;="&amp;$C$1,Tabla_Gastos3678910111213[FECHA],"&lt;="&amp;$D$1,Tabla_Gastos3678910111213[CATEGORIA],J22)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SUMIFS(Tabla_Gastos3678910111213[MONTO],Tabla_Gastos3678910111213[FECHA],"&gt;="&amp;$C$1,Tabla_Gastos3678910111213[FECHA],"&lt;="&amp;$D$1,Tabla_Gastos3678910111213[CATEGORIA],J23)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SUMIFS(Tabla_Gastos3678910111213[MONTO],Tabla_Gastos3678910111213[FECHA],"&gt;="&amp;$C$1,Tabla_Gastos3678910111213[FECHA],"&lt;="&amp;$D$1,Tabla_Gastos3678910111213[CATEGORIA],J24)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SUMIFS(Tabla_Gastos3678910111213[MONTO],Tabla_Gastos3678910111213[FECHA],"&gt;="&amp;$C$1,Tabla_Gastos3678910111213[FECHA],"&lt;="&amp;$D$1,Tabla_Gastos3678910111213[CATEGORIA],J25)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SUMIFS(Tabla_Gastos3678910111213[MONTO],Tabla_Gastos3678910111213[FECHA],"&gt;="&amp;$C$1,Tabla_Gastos3678910111213[FECHA],"&lt;="&amp;$D$1,Tabla_Gastos3678910111213[CATEGORIA],J26)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SUMIFS(Tabla_Gastos3678910111213[MONTO],Tabla_Gastos3678910111213[FECHA],"&gt;="&amp;$C$1,Tabla_Gastos3678910111213[FECHA],"&lt;="&amp;$D$1,Tabla_Gastos3678910111213[CATEGORIA],J28)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SUMIFS(Tabla_Gastos3678910111213[MONTO],Tabla_Gastos3678910111213[FECHA],"&gt;="&amp;$C$1,Tabla_Gastos3678910111213[FECHA],"&lt;="&amp;$D$1,Tabla_Gastos3678910111213[CATEGORIA],J29)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SUMIFS(Tabla_Gastos3678910111213[MONTO],Tabla_Gastos3678910111213[FECHA],"&gt;="&amp;$C$1,Tabla_Gastos3678910111213[FECHA],"&lt;="&amp;$D$1,Tabla_Gastos3678910111213[CATEGORIA],J30)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SUMIFS(Tabla_Gastos3678910111213[MONTO],Tabla_Gastos3678910111213[FECHA],"&gt;="&amp;$C$1,Tabla_Gastos3678910111213[FECHA],"&lt;="&amp;$D$1,Tabla_Gastos3678910111213[CATEGORIA],J31)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SUMIFS(Tabla_Gastos3678910111213[MONTO],Tabla_Gastos3678910111213[FECHA],"&gt;="&amp;$C$1,Tabla_Gastos3678910111213[FECHA],"&lt;="&amp;$D$1,Tabla_Gastos3678910111213[CATEGORIA],J32)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SUMIFS(Tabla_Gastos3678910111213[MONTO],Tabla_Gastos3678910111213[FECHA],"&gt;="&amp;$C$1,Tabla_Gastos3678910111213[FECHA],"&lt;="&amp;$D$1,Tabla_Gastos3678910111213[CATEGORIA],J33)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SUMIFS(Tabla_Gastos3678910111213[MONTO],Tabla_Gastos3678910111213[FECHA],"&gt;="&amp;$C$1,Tabla_Gastos3678910111213[FECHA],"&lt;="&amp;$D$1,Tabla_Gastos3678910111213[CATEGORIA],J34)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SUMIFS(Tabla_Gastos3678910111213[MONTO],Tabla_Gastos3678910111213[FECHA],"&gt;="&amp;$C$1,Tabla_Gastos3678910111213[FECHA],"&lt;="&amp;$D$1,Tabla_Gastos3678910111213[CATEGORIA],J35)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SUMIFS(Tabla_Gastos3678910111213[MONTO],Tabla_Gastos3678910111213[FECHA],"&gt;="&amp;$C$1,Tabla_Gastos3678910111213[FECHA],"&lt;="&amp;$D$1,Tabla_Gastos3678910111213[CATEGORIA],J36)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SUMIFS(Tabla_Gastos3678910111213[MONTO],Tabla_Gastos3678910111213[FECHA],"&gt;="&amp;$C$1,Tabla_Gastos3678910111213[FECHA],"&lt;="&amp;$D$1,Tabla_Gastos3678910111213[CATEGORIA],J37)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SUMIFS(Tabla_Gastos3678910111213[MONTO],Tabla_Gastos3678910111213[FECHA],"&gt;="&amp;$C$1,Tabla_Gastos3678910111213[FECHA],"&lt;="&amp;$D$1,Tabla_Gastos3678910111213[CATEGORIA],J38)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SUMIFS(Tabla_Gastos3678910111213[MONTO],Tabla_Gastos3678910111213[FECHA],"&gt;="&amp;$C$1,Tabla_Gastos3678910111213[FECHA],"&lt;="&amp;$D$1,Tabla_Gastos3678910111213[CATEGORIA],J39)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SUMIFS(Tabla_Gastos3678910111213[MONTO],Tabla_Gastos3678910111213[FECHA],"&gt;="&amp;$C$1,Tabla_Gastos3678910111213[FECHA],"&lt;="&amp;$D$1,Tabla_Gastos3678910111213[CATEGORIA],J40)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SUMIFS(Tabla_Gastos3678910111213[MONTO],Tabla_Gastos3678910111213[FECHA],"&gt;="&amp;$C$1,Tabla_Gastos3678910111213[FECHA],"&lt;="&amp;$D$1,Tabla_Gastos3678910111213[CATEGORIA],J41)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Av3rw3if7nSGcvyYmtsrYDaSxSkdV6IQAa9Y8rUePrVoD4hxju8WKE/peBJvBw4laurj3KVxxBNwWJXyye1I3A==" saltValue="hUwAux9Q3EwX8UJ1DB1nPA==" spinCount="100000" sheet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39" priority="11" operator="lessThan">
      <formula>0</formula>
    </cfRule>
  </conditionalFormatting>
  <conditionalFormatting sqref="D11">
    <cfRule type="cellIs" dxfId="38" priority="2" operator="lessThan">
      <formula>0</formula>
    </cfRule>
  </conditionalFormatting>
  <conditionalFormatting sqref="D27">
    <cfRule type="cellIs" dxfId="37" priority="4" operator="lessThan">
      <formula>0</formula>
    </cfRule>
  </conditionalFormatting>
  <conditionalFormatting sqref="D43">
    <cfRule type="cellIs" dxfId="36" priority="8" operator="lessThan">
      <formula>0</formula>
    </cfRule>
  </conditionalFormatting>
  <conditionalFormatting sqref="G4:H10">
    <cfRule type="cellIs" dxfId="35" priority="9" operator="lessThan">
      <formula>0</formula>
    </cfRule>
  </conditionalFormatting>
  <conditionalFormatting sqref="H11">
    <cfRule type="cellIs" dxfId="34" priority="1" operator="lessThan">
      <formula>0</formula>
    </cfRule>
  </conditionalFormatting>
  <conditionalFormatting sqref="H43">
    <cfRule type="cellIs" dxfId="33" priority="7" operator="lessThan">
      <formula>0</formula>
    </cfRule>
  </conditionalFormatting>
  <conditionalFormatting sqref="L43">
    <cfRule type="cellIs" dxfId="32" priority="6" operator="lessThan">
      <formula>0</formula>
    </cfRule>
  </conditionalFormatting>
  <conditionalFormatting sqref="P27">
    <cfRule type="cellIs" dxfId="31" priority="3" operator="lessThan">
      <formula>0</formula>
    </cfRule>
  </conditionalFormatting>
  <conditionalFormatting sqref="P43">
    <cfRule type="cellIs" dxfId="30" priority="5" operator="lessThan">
      <formula>0</formula>
    </cfRule>
  </conditionalFormatting>
  <dataValidations count="1">
    <dataValidation type="list" allowBlank="1" showInputMessage="1" showErrorMessage="1" sqref="S6:S43" xr:uid="{1B0B8A50-7750-441D-BF49-8634EEDDDE65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820F-5F09-49A2-9E46-18987771E492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45200</v>
      </c>
      <c r="D1" s="2">
        <f ca="1">EOMONTH(C1,0)</f>
        <v>45230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octubre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SUMIFS(Tabla_Gastos367891011121314[MONTO],Tabla_Gastos367891011121314[FECHA],"&gt;="&amp;$C$1,Tabla_Gastos367891011121314[FECHA],"&lt;="&amp;$D$1,Tabla_Gastos367891011121314[CATEGORIA],J14)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SUMIFS(Tabla_Gastos367891011121314[MONTO],Tabla_Gastos367891011121314[FECHA],"&gt;="&amp;$C$1,Tabla_Gastos367891011121314[FECHA],"&lt;="&amp;$D$1,Tabla_Gastos367891011121314[CATEGORIA],J15)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SUMIFS(Tabla_Gastos367891011121314[MONTO],Tabla_Gastos367891011121314[FECHA],"&gt;="&amp;$C$1,Tabla_Gastos367891011121314[FECHA],"&lt;="&amp;$D$1,Tabla_Gastos367891011121314[CATEGORIA],J16)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SUMIFS(Tabla_Gastos367891011121314[MONTO],Tabla_Gastos367891011121314[FECHA],"&gt;="&amp;$C$1,Tabla_Gastos367891011121314[FECHA],"&lt;="&amp;$D$1,Tabla_Gastos367891011121314[CATEGORIA],J17)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SUMIFS(Tabla_Gastos367891011121314[MONTO],Tabla_Gastos367891011121314[FECHA],"&gt;="&amp;$C$1,Tabla_Gastos367891011121314[FECHA],"&lt;="&amp;$D$1,Tabla_Gastos367891011121314[CATEGORIA],J18)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SUMIFS(Tabla_Gastos367891011121314[MONTO],Tabla_Gastos367891011121314[FECHA],"&gt;="&amp;$C$1,Tabla_Gastos367891011121314[FECHA],"&lt;="&amp;$D$1,Tabla_Gastos367891011121314[CATEGORIA],J19)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SUMIFS(Tabla_Gastos367891011121314[MONTO],Tabla_Gastos367891011121314[FECHA],"&gt;="&amp;$C$1,Tabla_Gastos367891011121314[FECHA],"&lt;="&amp;$D$1,Tabla_Gastos367891011121314[CATEGORIA],J20)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SUMIFS(Tabla_Gastos367891011121314[MONTO],Tabla_Gastos367891011121314[FECHA],"&gt;="&amp;$C$1,Tabla_Gastos367891011121314[FECHA],"&lt;="&amp;$D$1,Tabla_Gastos367891011121314[CATEGORIA],J21)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SUMIFS(Tabla_Gastos367891011121314[MONTO],Tabla_Gastos367891011121314[FECHA],"&gt;="&amp;$C$1,Tabla_Gastos367891011121314[FECHA],"&lt;="&amp;$D$1,Tabla_Gastos367891011121314[CATEGORIA],J22)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SUMIFS(Tabla_Gastos367891011121314[MONTO],Tabla_Gastos367891011121314[FECHA],"&gt;="&amp;$C$1,Tabla_Gastos367891011121314[FECHA],"&lt;="&amp;$D$1,Tabla_Gastos367891011121314[CATEGORIA],J23)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SUMIFS(Tabla_Gastos367891011121314[MONTO],Tabla_Gastos367891011121314[FECHA],"&gt;="&amp;$C$1,Tabla_Gastos367891011121314[FECHA],"&lt;="&amp;$D$1,Tabla_Gastos367891011121314[CATEGORIA],J24)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SUMIFS(Tabla_Gastos367891011121314[MONTO],Tabla_Gastos367891011121314[FECHA],"&gt;="&amp;$C$1,Tabla_Gastos367891011121314[FECHA],"&lt;="&amp;$D$1,Tabla_Gastos367891011121314[CATEGORIA],J25)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SUMIFS(Tabla_Gastos367891011121314[MONTO],Tabla_Gastos367891011121314[FECHA],"&gt;="&amp;$C$1,Tabla_Gastos367891011121314[FECHA],"&lt;="&amp;$D$1,Tabla_Gastos367891011121314[CATEGORIA],J26)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SUMIFS(Tabla_Gastos367891011121314[MONTO],Tabla_Gastos367891011121314[FECHA],"&gt;="&amp;$C$1,Tabla_Gastos367891011121314[FECHA],"&lt;="&amp;$D$1,Tabla_Gastos367891011121314[CATEGORIA],J28)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SUMIFS(Tabla_Gastos367891011121314[MONTO],Tabla_Gastos367891011121314[FECHA],"&gt;="&amp;$C$1,Tabla_Gastos367891011121314[FECHA],"&lt;="&amp;$D$1,Tabla_Gastos367891011121314[CATEGORIA],J29)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SUMIFS(Tabla_Gastos367891011121314[MONTO],Tabla_Gastos367891011121314[FECHA],"&gt;="&amp;$C$1,Tabla_Gastos367891011121314[FECHA],"&lt;="&amp;$D$1,Tabla_Gastos367891011121314[CATEGORIA],J30)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SUMIFS(Tabla_Gastos367891011121314[MONTO],Tabla_Gastos367891011121314[FECHA],"&gt;="&amp;$C$1,Tabla_Gastos367891011121314[FECHA],"&lt;="&amp;$D$1,Tabla_Gastos367891011121314[CATEGORIA],J31)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SUMIFS(Tabla_Gastos367891011121314[MONTO],Tabla_Gastos367891011121314[FECHA],"&gt;="&amp;$C$1,Tabla_Gastos367891011121314[FECHA],"&lt;="&amp;$D$1,Tabla_Gastos367891011121314[CATEGORIA],J32)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SUMIFS(Tabla_Gastos367891011121314[MONTO],Tabla_Gastos367891011121314[FECHA],"&gt;="&amp;$C$1,Tabla_Gastos367891011121314[FECHA],"&lt;="&amp;$D$1,Tabla_Gastos367891011121314[CATEGORIA],J33)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SUMIFS(Tabla_Gastos367891011121314[MONTO],Tabla_Gastos367891011121314[FECHA],"&gt;="&amp;$C$1,Tabla_Gastos367891011121314[FECHA],"&lt;="&amp;$D$1,Tabla_Gastos367891011121314[CATEGORIA],J34)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SUMIFS(Tabla_Gastos367891011121314[MONTO],Tabla_Gastos367891011121314[FECHA],"&gt;="&amp;$C$1,Tabla_Gastos367891011121314[FECHA],"&lt;="&amp;$D$1,Tabla_Gastos367891011121314[CATEGORIA],J35)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SUMIFS(Tabla_Gastos367891011121314[MONTO],Tabla_Gastos367891011121314[FECHA],"&gt;="&amp;$C$1,Tabla_Gastos367891011121314[FECHA],"&lt;="&amp;$D$1,Tabla_Gastos367891011121314[CATEGORIA],J36)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SUMIFS(Tabla_Gastos367891011121314[MONTO],Tabla_Gastos367891011121314[FECHA],"&gt;="&amp;$C$1,Tabla_Gastos367891011121314[FECHA],"&lt;="&amp;$D$1,Tabla_Gastos367891011121314[CATEGORIA],J37)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SUMIFS(Tabla_Gastos367891011121314[MONTO],Tabla_Gastos367891011121314[FECHA],"&gt;="&amp;$C$1,Tabla_Gastos367891011121314[FECHA],"&lt;="&amp;$D$1,Tabla_Gastos367891011121314[CATEGORIA],J38)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SUMIFS(Tabla_Gastos367891011121314[MONTO],Tabla_Gastos367891011121314[FECHA],"&gt;="&amp;$C$1,Tabla_Gastos367891011121314[FECHA],"&lt;="&amp;$D$1,Tabla_Gastos367891011121314[CATEGORIA],J39)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SUMIFS(Tabla_Gastos367891011121314[MONTO],Tabla_Gastos367891011121314[FECHA],"&gt;="&amp;$C$1,Tabla_Gastos367891011121314[FECHA],"&lt;="&amp;$D$1,Tabla_Gastos367891011121314[CATEGORIA],J40)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SUMIFS(Tabla_Gastos367891011121314[MONTO],Tabla_Gastos367891011121314[FECHA],"&gt;="&amp;$C$1,Tabla_Gastos367891011121314[FECHA],"&lt;="&amp;$D$1,Tabla_Gastos367891011121314[CATEGORIA],J41)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t6LjqooMlfTuUhDXrwIY3Lx675pqGloZtAvv2IGPtnQn8itFV4jyeL7Wg3NoV3JjaTi+SEqbkMKeGZyKYUxWhA==" saltValue="gvAsF6g5KbmTRdR2piXkgQ==" spinCount="100000" sheet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29" priority="11" operator="lessThan">
      <formula>0</formula>
    </cfRule>
  </conditionalFormatting>
  <conditionalFormatting sqref="D11">
    <cfRule type="cellIs" dxfId="28" priority="2" operator="lessThan">
      <formula>0</formula>
    </cfRule>
  </conditionalFormatting>
  <conditionalFormatting sqref="D27">
    <cfRule type="cellIs" dxfId="27" priority="4" operator="lessThan">
      <formula>0</formula>
    </cfRule>
  </conditionalFormatting>
  <conditionalFormatting sqref="D43">
    <cfRule type="cellIs" dxfId="26" priority="8" operator="lessThan">
      <formula>0</formula>
    </cfRule>
  </conditionalFormatting>
  <conditionalFormatting sqref="G4:H10">
    <cfRule type="cellIs" dxfId="25" priority="9" operator="lessThan">
      <formula>0</formula>
    </cfRule>
  </conditionalFormatting>
  <conditionalFormatting sqref="H11">
    <cfRule type="cellIs" dxfId="24" priority="1" operator="lessThan">
      <formula>0</formula>
    </cfRule>
  </conditionalFormatting>
  <conditionalFormatting sqref="H43">
    <cfRule type="cellIs" dxfId="23" priority="7" operator="lessThan">
      <formula>0</formula>
    </cfRule>
  </conditionalFormatting>
  <conditionalFormatting sqref="L43">
    <cfRule type="cellIs" dxfId="22" priority="6" operator="lessThan">
      <formula>0</formula>
    </cfRule>
  </conditionalFormatting>
  <conditionalFormatting sqref="P27">
    <cfRule type="cellIs" dxfId="21" priority="3" operator="lessThan">
      <formula>0</formula>
    </cfRule>
  </conditionalFormatting>
  <conditionalFormatting sqref="P43">
    <cfRule type="cellIs" dxfId="20" priority="5" operator="lessThan">
      <formula>0</formula>
    </cfRule>
  </conditionalFormatting>
  <dataValidations count="1">
    <dataValidation type="list" allowBlank="1" showInputMessage="1" showErrorMessage="1" sqref="S6:S43" xr:uid="{08ED0B73-30E1-41B0-8842-7D48C58DCC5D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6FAB-D843-4A98-B57B-BF5518C27F4D}">
  <sheetPr>
    <tabColor theme="6" tint="-0.499984740745262"/>
  </sheetPr>
  <dimension ref="B1:U43"/>
  <sheetViews>
    <sheetView showGridLines="0" showRowColHeaders="0" zoomScale="80" zoomScaleNormal="80" workbookViewId="0">
      <selection activeCell="B14" sqref="B14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45231</v>
      </c>
      <c r="D1" s="2">
        <f ca="1">EOMONTH(C1,0)</f>
        <v>45260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noviembre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SUMIFS(Tabla_Gastos36789101112131415[MONTO],Tabla_Gastos36789101112131415[FECHA],"&gt;="&amp;$C$1,Tabla_Gastos36789101112131415[FECHA],"&lt;="&amp;$D$1,Tabla_Gastos36789101112131415[CATEGORIA],J14)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SUMIFS(Tabla_Gastos36789101112131415[MONTO],Tabla_Gastos36789101112131415[FECHA],"&gt;="&amp;$C$1,Tabla_Gastos36789101112131415[FECHA],"&lt;="&amp;$D$1,Tabla_Gastos36789101112131415[CATEGORIA],J15)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SUMIFS(Tabla_Gastos36789101112131415[MONTO],Tabla_Gastos36789101112131415[FECHA],"&gt;="&amp;$C$1,Tabla_Gastos36789101112131415[FECHA],"&lt;="&amp;$D$1,Tabla_Gastos36789101112131415[CATEGORIA],J16)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SUMIFS(Tabla_Gastos36789101112131415[MONTO],Tabla_Gastos36789101112131415[FECHA],"&gt;="&amp;$C$1,Tabla_Gastos36789101112131415[FECHA],"&lt;="&amp;$D$1,Tabla_Gastos36789101112131415[CATEGORIA],J17)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SUMIFS(Tabla_Gastos36789101112131415[MONTO],Tabla_Gastos36789101112131415[FECHA],"&gt;="&amp;$C$1,Tabla_Gastos36789101112131415[FECHA],"&lt;="&amp;$D$1,Tabla_Gastos36789101112131415[CATEGORIA],J18)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SUMIFS(Tabla_Gastos36789101112131415[MONTO],Tabla_Gastos36789101112131415[FECHA],"&gt;="&amp;$C$1,Tabla_Gastos36789101112131415[FECHA],"&lt;="&amp;$D$1,Tabla_Gastos36789101112131415[CATEGORIA],J19)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SUMIFS(Tabla_Gastos36789101112131415[MONTO],Tabla_Gastos36789101112131415[FECHA],"&gt;="&amp;$C$1,Tabla_Gastos36789101112131415[FECHA],"&lt;="&amp;$D$1,Tabla_Gastos36789101112131415[CATEGORIA],J20)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SUMIFS(Tabla_Gastos36789101112131415[MONTO],Tabla_Gastos36789101112131415[FECHA],"&gt;="&amp;$C$1,Tabla_Gastos36789101112131415[FECHA],"&lt;="&amp;$D$1,Tabla_Gastos36789101112131415[CATEGORIA],J21)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SUMIFS(Tabla_Gastos36789101112131415[MONTO],Tabla_Gastos36789101112131415[FECHA],"&gt;="&amp;$C$1,Tabla_Gastos36789101112131415[FECHA],"&lt;="&amp;$D$1,Tabla_Gastos36789101112131415[CATEGORIA],J22)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SUMIFS(Tabla_Gastos36789101112131415[MONTO],Tabla_Gastos36789101112131415[FECHA],"&gt;="&amp;$C$1,Tabla_Gastos36789101112131415[FECHA],"&lt;="&amp;$D$1,Tabla_Gastos36789101112131415[CATEGORIA],J23)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SUMIFS(Tabla_Gastos36789101112131415[MONTO],Tabla_Gastos36789101112131415[FECHA],"&gt;="&amp;$C$1,Tabla_Gastos36789101112131415[FECHA],"&lt;="&amp;$D$1,Tabla_Gastos36789101112131415[CATEGORIA],J24)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SUMIFS(Tabla_Gastos36789101112131415[MONTO],Tabla_Gastos36789101112131415[FECHA],"&gt;="&amp;$C$1,Tabla_Gastos36789101112131415[FECHA],"&lt;="&amp;$D$1,Tabla_Gastos36789101112131415[CATEGORIA],J25)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SUMIFS(Tabla_Gastos36789101112131415[MONTO],Tabla_Gastos36789101112131415[FECHA],"&gt;="&amp;$C$1,Tabla_Gastos36789101112131415[FECHA],"&lt;="&amp;$D$1,Tabla_Gastos36789101112131415[CATEGORIA],J26)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SUMIFS(Tabla_Gastos36789101112131415[MONTO],Tabla_Gastos36789101112131415[FECHA],"&gt;="&amp;$C$1,Tabla_Gastos36789101112131415[FECHA],"&lt;="&amp;$D$1,Tabla_Gastos36789101112131415[CATEGORIA],J28)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SUMIFS(Tabla_Gastos36789101112131415[MONTO],Tabla_Gastos36789101112131415[FECHA],"&gt;="&amp;$C$1,Tabla_Gastos36789101112131415[FECHA],"&lt;="&amp;$D$1,Tabla_Gastos36789101112131415[CATEGORIA],J29)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SUMIFS(Tabla_Gastos36789101112131415[MONTO],Tabla_Gastos36789101112131415[FECHA],"&gt;="&amp;$C$1,Tabla_Gastos36789101112131415[FECHA],"&lt;="&amp;$D$1,Tabla_Gastos36789101112131415[CATEGORIA],J30)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SUMIFS(Tabla_Gastos36789101112131415[MONTO],Tabla_Gastos36789101112131415[FECHA],"&gt;="&amp;$C$1,Tabla_Gastos36789101112131415[FECHA],"&lt;="&amp;$D$1,Tabla_Gastos36789101112131415[CATEGORIA],J31)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SUMIFS(Tabla_Gastos36789101112131415[MONTO],Tabla_Gastos36789101112131415[FECHA],"&gt;="&amp;$C$1,Tabla_Gastos36789101112131415[FECHA],"&lt;="&amp;$D$1,Tabla_Gastos36789101112131415[CATEGORIA],J32)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SUMIFS(Tabla_Gastos36789101112131415[MONTO],Tabla_Gastos36789101112131415[FECHA],"&gt;="&amp;$C$1,Tabla_Gastos36789101112131415[FECHA],"&lt;="&amp;$D$1,Tabla_Gastos36789101112131415[CATEGORIA],J33)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SUMIFS(Tabla_Gastos36789101112131415[MONTO],Tabla_Gastos36789101112131415[FECHA],"&gt;="&amp;$C$1,Tabla_Gastos36789101112131415[FECHA],"&lt;="&amp;$D$1,Tabla_Gastos36789101112131415[CATEGORIA],J34)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SUMIFS(Tabla_Gastos36789101112131415[MONTO],Tabla_Gastos36789101112131415[FECHA],"&gt;="&amp;$C$1,Tabla_Gastos36789101112131415[FECHA],"&lt;="&amp;$D$1,Tabla_Gastos36789101112131415[CATEGORIA],J35)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SUMIFS(Tabla_Gastos36789101112131415[MONTO],Tabla_Gastos36789101112131415[FECHA],"&gt;="&amp;$C$1,Tabla_Gastos36789101112131415[FECHA],"&lt;="&amp;$D$1,Tabla_Gastos36789101112131415[CATEGORIA],J36)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SUMIFS(Tabla_Gastos36789101112131415[MONTO],Tabla_Gastos36789101112131415[FECHA],"&gt;="&amp;$C$1,Tabla_Gastos36789101112131415[FECHA],"&lt;="&amp;$D$1,Tabla_Gastos36789101112131415[CATEGORIA],J37)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SUMIFS(Tabla_Gastos36789101112131415[MONTO],Tabla_Gastos36789101112131415[FECHA],"&gt;="&amp;$C$1,Tabla_Gastos36789101112131415[FECHA],"&lt;="&amp;$D$1,Tabla_Gastos36789101112131415[CATEGORIA],J38)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SUMIFS(Tabla_Gastos36789101112131415[MONTO],Tabla_Gastos36789101112131415[FECHA],"&gt;="&amp;$C$1,Tabla_Gastos36789101112131415[FECHA],"&lt;="&amp;$D$1,Tabla_Gastos36789101112131415[CATEGORIA],J39)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SUMIFS(Tabla_Gastos36789101112131415[MONTO],Tabla_Gastos36789101112131415[FECHA],"&gt;="&amp;$C$1,Tabla_Gastos36789101112131415[FECHA],"&lt;="&amp;$D$1,Tabla_Gastos36789101112131415[CATEGORIA],J40)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SUMIFS(Tabla_Gastos36789101112131415[MONTO],Tabla_Gastos36789101112131415[FECHA],"&gt;="&amp;$C$1,Tabla_Gastos36789101112131415[FECHA],"&lt;="&amp;$D$1,Tabla_Gastos36789101112131415[CATEGORIA],J41)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4JwFQNqGcWQMlcP6nv09DJTqVWhBc5DkXsqmKgR3UXoUnx+5LbK6b6HpuO2moay1LupSMvXd86iidJfUa2RG7A==" saltValue="61oLi5tP2KCnNP3HcxTTQg==" spinCount="100000" sheet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19" priority="11" operator="lessThan">
      <formula>0</formula>
    </cfRule>
  </conditionalFormatting>
  <conditionalFormatting sqref="D11">
    <cfRule type="cellIs" dxfId="18" priority="2" operator="lessThan">
      <formula>0</formula>
    </cfRule>
  </conditionalFormatting>
  <conditionalFormatting sqref="D27">
    <cfRule type="cellIs" dxfId="17" priority="4" operator="lessThan">
      <formula>0</formula>
    </cfRule>
  </conditionalFormatting>
  <conditionalFormatting sqref="D43">
    <cfRule type="cellIs" dxfId="16" priority="8" operator="lessThan">
      <formula>0</formula>
    </cfRule>
  </conditionalFormatting>
  <conditionalFormatting sqref="G4:H10">
    <cfRule type="cellIs" dxfId="15" priority="9" operator="lessThan">
      <formula>0</formula>
    </cfRule>
  </conditionalFormatting>
  <conditionalFormatting sqref="H11">
    <cfRule type="cellIs" dxfId="14" priority="1" operator="lessThan">
      <formula>0</formula>
    </cfRule>
  </conditionalFormatting>
  <conditionalFormatting sqref="H43">
    <cfRule type="cellIs" dxfId="13" priority="7" operator="lessThan">
      <formula>0</formula>
    </cfRule>
  </conditionalFormatting>
  <conditionalFormatting sqref="L43">
    <cfRule type="cellIs" dxfId="12" priority="6" operator="lessThan">
      <formula>0</formula>
    </cfRule>
  </conditionalFormatting>
  <conditionalFormatting sqref="P27">
    <cfRule type="cellIs" dxfId="11" priority="3" operator="lessThan">
      <formula>0</formula>
    </cfRule>
  </conditionalFormatting>
  <conditionalFormatting sqref="P43">
    <cfRule type="cellIs" dxfId="10" priority="5" operator="lessThan">
      <formula>0</formula>
    </cfRule>
  </conditionalFormatting>
  <dataValidations count="1">
    <dataValidation type="list" allowBlank="1" showInputMessage="1" showErrorMessage="1" sqref="S6:S43" xr:uid="{0F0FF04D-1117-4531-AC6C-8B696C8E48DE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CE2D-7F47-46D3-B84E-BB6F8CF7604A}">
  <sheetPr>
    <tabColor theme="6" tint="-0.499984740745262"/>
  </sheetPr>
  <dimension ref="B1:U43"/>
  <sheetViews>
    <sheetView showGridLines="0" showRowColHeaders="0" zoomScale="80" zoomScaleNormal="80" workbookViewId="0">
      <selection activeCell="J30" sqref="J30"/>
    </sheetView>
  </sheetViews>
  <sheetFormatPr baseColWidth="10" defaultRowHeight="16.5" x14ac:dyDescent="0.3"/>
  <cols>
    <col min="1" max="1" width="1.75" customWidth="1"/>
    <col min="2" max="2" width="20.875" customWidth="1"/>
    <col min="3" max="4" width="13.75" customWidth="1"/>
    <col min="5" max="5" width="1.75" customWidth="1"/>
    <col min="6" max="6" width="20.875" customWidth="1"/>
    <col min="7" max="8" width="13.75" customWidth="1"/>
    <col min="9" max="9" width="1.75" customWidth="1"/>
    <col min="10" max="10" width="20.875" customWidth="1"/>
    <col min="11" max="12" width="13.75" customWidth="1"/>
    <col min="13" max="13" width="1.75" customWidth="1"/>
    <col min="14" max="14" width="20.875" customWidth="1"/>
    <col min="15" max="16" width="13.75" customWidth="1"/>
    <col min="17" max="17" width="1.75" customWidth="1"/>
    <col min="18" max="18" width="14.5" customWidth="1"/>
    <col min="19" max="19" width="21.375" customWidth="1"/>
    <col min="20" max="20" width="49.5" customWidth="1"/>
    <col min="21" max="21" width="17.375" customWidth="1"/>
    <col min="22" max="22" width="1.75" customWidth="1"/>
  </cols>
  <sheetData>
    <row r="1" spans="2:21" ht="13.9" customHeight="1" x14ac:dyDescent="0.3">
      <c r="C1" s="2">
        <f ca="1">VALUE(B2)</f>
        <v>45261</v>
      </c>
      <c r="D1" s="2">
        <f ca="1">EOMONTH(C1,0)</f>
        <v>45291</v>
      </c>
      <c r="F1" s="51" t="s">
        <v>45</v>
      </c>
      <c r="G1" s="51"/>
      <c r="H1" s="51"/>
    </row>
    <row r="2" spans="2:21" ht="17.45" customHeight="1" thickBot="1" x14ac:dyDescent="0.35">
      <c r="B2" s="47" t="str">
        <f ca="1">TEXT(DATE(Anual!$L$2,_xlfn.SHEET()-1,1),"mmmm")&amp;" "&amp;Anual!L2</f>
        <v>diciembre 2023</v>
      </c>
      <c r="C2" s="47"/>
      <c r="D2" s="47"/>
      <c r="F2" s="50"/>
      <c r="G2" s="50"/>
      <c r="H2" s="50"/>
      <c r="J2" s="56">
        <f>H4</f>
        <v>0</v>
      </c>
      <c r="K2" s="42" t="s">
        <v>53</v>
      </c>
      <c r="R2" s="47" t="s">
        <v>56</v>
      </c>
      <c r="S2" s="47"/>
      <c r="T2" s="47"/>
      <c r="U2" s="47"/>
    </row>
    <row r="3" spans="2:21" ht="13.9" customHeight="1" thickTop="1" thickBot="1" x14ac:dyDescent="0.35">
      <c r="B3" s="48"/>
      <c r="C3" s="48"/>
      <c r="D3" s="48"/>
      <c r="F3" s="3" t="s">
        <v>52</v>
      </c>
      <c r="G3" s="3" t="s">
        <v>1</v>
      </c>
      <c r="H3" s="3" t="s">
        <v>2</v>
      </c>
      <c r="J3" s="57"/>
      <c r="K3" s="43"/>
      <c r="R3" s="48"/>
      <c r="S3" s="48"/>
      <c r="T3" s="48"/>
      <c r="U3" s="48"/>
    </row>
    <row r="4" spans="2:21" ht="14.45" customHeight="1" thickTop="1" thickBot="1" x14ac:dyDescent="0.35">
      <c r="B4" s="49" t="s">
        <v>46</v>
      </c>
      <c r="C4" s="49"/>
      <c r="D4" s="49"/>
      <c r="F4" s="4" t="s">
        <v>39</v>
      </c>
      <c r="G4" s="17">
        <f>C26</f>
        <v>0</v>
      </c>
      <c r="H4" s="16">
        <f>D26</f>
        <v>0</v>
      </c>
      <c r="J4" s="58">
        <f ca="1">SUM(H5:H9)</f>
        <v>0</v>
      </c>
      <c r="K4" s="44" t="s">
        <v>55</v>
      </c>
    </row>
    <row r="5" spans="2:21" ht="13.9" customHeight="1" thickTop="1" thickBot="1" x14ac:dyDescent="0.35">
      <c r="B5" s="50"/>
      <c r="C5" s="50"/>
      <c r="D5" s="50"/>
      <c r="F5" s="4" t="s">
        <v>40</v>
      </c>
      <c r="G5" s="15">
        <f>G42</f>
        <v>0</v>
      </c>
      <c r="H5" s="16">
        <f>H42</f>
        <v>0</v>
      </c>
      <c r="J5" s="58"/>
      <c r="K5" s="44"/>
      <c r="R5" s="1" t="s">
        <v>49</v>
      </c>
      <c r="S5" s="1" t="s">
        <v>52</v>
      </c>
      <c r="T5" s="1" t="s">
        <v>51</v>
      </c>
      <c r="U5" s="1" t="s">
        <v>50</v>
      </c>
    </row>
    <row r="6" spans="2:21" ht="18" thickTop="1" thickBot="1" x14ac:dyDescent="0.35">
      <c r="B6" s="3" t="s">
        <v>52</v>
      </c>
      <c r="C6" s="3" t="s">
        <v>1</v>
      </c>
      <c r="D6" s="3" t="s">
        <v>2</v>
      </c>
      <c r="F6" s="4" t="s">
        <v>41</v>
      </c>
      <c r="G6" s="15">
        <f>K42</f>
        <v>0</v>
      </c>
      <c r="H6" s="16">
        <f ca="1">L42</f>
        <v>0</v>
      </c>
      <c r="J6" s="40">
        <f>G10</f>
        <v>0</v>
      </c>
      <c r="K6" s="45" t="s">
        <v>59</v>
      </c>
      <c r="R6" s="12"/>
      <c r="S6" s="13"/>
      <c r="T6" s="13"/>
      <c r="U6" s="14"/>
    </row>
    <row r="7" spans="2:21" ht="18" thickTop="1" thickBot="1" x14ac:dyDescent="0.35">
      <c r="B7" s="4" t="s">
        <v>39</v>
      </c>
      <c r="C7" s="17">
        <f>C26</f>
        <v>0</v>
      </c>
      <c r="D7" s="16">
        <f>D26</f>
        <v>0</v>
      </c>
      <c r="F7" s="4" t="s">
        <v>74</v>
      </c>
      <c r="G7" s="15">
        <f>C42</f>
        <v>0</v>
      </c>
      <c r="H7" s="16">
        <f>D42</f>
        <v>0</v>
      </c>
      <c r="J7" s="40"/>
      <c r="K7" s="46"/>
      <c r="R7" s="12"/>
      <c r="S7" s="13"/>
      <c r="T7" s="13"/>
      <c r="U7" s="14"/>
    </row>
    <row r="8" spans="2:21" ht="18" thickTop="1" thickBot="1" x14ac:dyDescent="0.35">
      <c r="B8" s="4" t="s">
        <v>40</v>
      </c>
      <c r="C8" s="15">
        <f>G42</f>
        <v>0</v>
      </c>
      <c r="D8" s="16">
        <f>H42</f>
        <v>0</v>
      </c>
      <c r="F8" s="4" t="s">
        <v>42</v>
      </c>
      <c r="G8" s="15">
        <f>O26</f>
        <v>0</v>
      </c>
      <c r="H8" s="16">
        <f>P26</f>
        <v>0</v>
      </c>
      <c r="J8" s="40">
        <f ca="1">H10</f>
        <v>0</v>
      </c>
      <c r="K8" s="45" t="s">
        <v>54</v>
      </c>
      <c r="R8" s="12"/>
      <c r="S8" s="13"/>
      <c r="T8" s="13"/>
      <c r="U8" s="14"/>
    </row>
    <row r="9" spans="2:21" ht="18" thickTop="1" thickBot="1" x14ac:dyDescent="0.35">
      <c r="B9" s="4" t="s">
        <v>41</v>
      </c>
      <c r="C9" s="15">
        <f>K42</f>
        <v>0</v>
      </c>
      <c r="D9" s="16">
        <f ca="1">L42</f>
        <v>0</v>
      </c>
      <c r="F9" s="4" t="s">
        <v>43</v>
      </c>
      <c r="G9" s="15">
        <f>O42</f>
        <v>0</v>
      </c>
      <c r="H9" s="16">
        <f>P42</f>
        <v>0</v>
      </c>
      <c r="J9" s="41"/>
      <c r="K9" s="46"/>
      <c r="R9" s="12"/>
      <c r="S9" s="13"/>
      <c r="T9" s="13"/>
      <c r="U9" s="14"/>
    </row>
    <row r="10" spans="2:21" ht="15" customHeight="1" thickTop="1" thickBot="1" x14ac:dyDescent="0.35">
      <c r="B10" s="3" t="s">
        <v>47</v>
      </c>
      <c r="C10" s="5">
        <f>C7-C8-C9</f>
        <v>0</v>
      </c>
      <c r="D10" s="5">
        <f ca="1">D7-D8-D9</f>
        <v>0</v>
      </c>
      <c r="F10" s="3" t="s">
        <v>44</v>
      </c>
      <c r="G10" s="5">
        <f>G4-SUM(G5:G9)</f>
        <v>0</v>
      </c>
      <c r="H10" s="5">
        <f ca="1">H4-SUM(H5:H9)</f>
        <v>0</v>
      </c>
      <c r="J10" s="52">
        <f ca="1">H11</f>
        <v>0</v>
      </c>
      <c r="K10" s="54" t="s">
        <v>58</v>
      </c>
      <c r="R10" s="12"/>
      <c r="S10" s="13"/>
      <c r="T10" s="13"/>
      <c r="U10" s="14"/>
    </row>
    <row r="11" spans="2:21" ht="14.45" customHeight="1" x14ac:dyDescent="0.3">
      <c r="B11" s="31" t="s">
        <v>57</v>
      </c>
      <c r="C11" s="31"/>
      <c r="D11" s="8">
        <f ca="1">C10-D10</f>
        <v>0</v>
      </c>
      <c r="F11" s="31" t="s">
        <v>57</v>
      </c>
      <c r="G11" s="31"/>
      <c r="H11" s="8">
        <f ca="1">G10-H10</f>
        <v>0</v>
      </c>
      <c r="J11" s="53"/>
      <c r="K11" s="55"/>
      <c r="R11" s="12"/>
      <c r="S11" s="13"/>
      <c r="T11" s="13"/>
      <c r="U11" s="14"/>
    </row>
    <row r="12" spans="2:21" x14ac:dyDescent="0.3">
      <c r="R12" s="12"/>
      <c r="S12" s="13"/>
      <c r="T12" s="13"/>
      <c r="U12" s="14"/>
    </row>
    <row r="13" spans="2:21" x14ac:dyDescent="0.3">
      <c r="B13" s="3" t="s">
        <v>0</v>
      </c>
      <c r="C13" s="3" t="s">
        <v>1</v>
      </c>
      <c r="D13" s="3" t="s">
        <v>2</v>
      </c>
      <c r="F13" s="3" t="s">
        <v>4</v>
      </c>
      <c r="G13" s="3" t="s">
        <v>1</v>
      </c>
      <c r="H13" s="3" t="s">
        <v>2</v>
      </c>
      <c r="J13" s="3" t="s">
        <v>19</v>
      </c>
      <c r="K13" s="3" t="s">
        <v>1</v>
      </c>
      <c r="L13" s="3" t="s">
        <v>2</v>
      </c>
      <c r="N13" s="3" t="s">
        <v>28</v>
      </c>
      <c r="O13" s="3" t="s">
        <v>1</v>
      </c>
      <c r="P13" s="3" t="s">
        <v>2</v>
      </c>
      <c r="R13" s="12"/>
      <c r="S13" s="13"/>
      <c r="T13" s="13"/>
      <c r="U13" s="14"/>
    </row>
    <row r="14" spans="2:21" x14ac:dyDescent="0.3">
      <c r="B14" s="9" t="s">
        <v>16</v>
      </c>
      <c r="C14" s="10"/>
      <c r="D14" s="11"/>
      <c r="F14" s="9" t="s">
        <v>5</v>
      </c>
      <c r="G14" s="10"/>
      <c r="H14" s="11"/>
      <c r="J14" s="9" t="s">
        <v>20</v>
      </c>
      <c r="K14" s="10"/>
      <c r="L14" s="16">
        <f ca="1">SUMIFS(Tabla_Gastos3678910111213141516[MONTO],Tabla_Gastos3678910111213141516[FECHA],"&gt;="&amp;$C$1,Tabla_Gastos3678910111213141516[FECHA],"&lt;="&amp;$D$1,Tabla_Gastos3678910111213141516[CATEGORIA],J14)</f>
        <v>0</v>
      </c>
      <c r="N14" s="9" t="s">
        <v>30</v>
      </c>
      <c r="O14" s="10"/>
      <c r="P14" s="11"/>
      <c r="R14" s="12"/>
      <c r="S14" s="13"/>
      <c r="T14" s="13"/>
      <c r="U14" s="14"/>
    </row>
    <row r="15" spans="2:21" x14ac:dyDescent="0.3">
      <c r="B15" s="9" t="s">
        <v>17</v>
      </c>
      <c r="C15" s="10"/>
      <c r="D15" s="11"/>
      <c r="F15" s="9" t="s">
        <v>6</v>
      </c>
      <c r="G15" s="10"/>
      <c r="H15" s="11"/>
      <c r="J15" s="9" t="s">
        <v>21</v>
      </c>
      <c r="K15" s="10"/>
      <c r="L15" s="16">
        <f ca="1">SUMIFS(Tabla_Gastos3678910111213141516[MONTO],Tabla_Gastos3678910111213141516[FECHA],"&gt;="&amp;$C$1,Tabla_Gastos3678910111213141516[FECHA],"&lt;="&amp;$D$1,Tabla_Gastos3678910111213141516[CATEGORIA],J15)</f>
        <v>0</v>
      </c>
      <c r="N15" s="9" t="s">
        <v>31</v>
      </c>
      <c r="O15" s="10"/>
      <c r="P15" s="11"/>
      <c r="R15" s="12"/>
      <c r="S15" s="13"/>
      <c r="T15" s="13"/>
      <c r="U15" s="14"/>
    </row>
    <row r="16" spans="2:21" x14ac:dyDescent="0.3">
      <c r="B16" s="9" t="s">
        <v>18</v>
      </c>
      <c r="C16" s="10"/>
      <c r="D16" s="11"/>
      <c r="F16" s="9" t="s">
        <v>7</v>
      </c>
      <c r="G16" s="10"/>
      <c r="H16" s="11"/>
      <c r="J16" s="9" t="s">
        <v>22</v>
      </c>
      <c r="K16" s="10"/>
      <c r="L16" s="16">
        <f ca="1">SUMIFS(Tabla_Gastos3678910111213141516[MONTO],Tabla_Gastos3678910111213141516[FECHA],"&gt;="&amp;$C$1,Tabla_Gastos3678910111213141516[FECHA],"&lt;="&amp;$D$1,Tabla_Gastos3678910111213141516[CATEGORIA],J16)</f>
        <v>0</v>
      </c>
      <c r="N16" s="9" t="s">
        <v>32</v>
      </c>
      <c r="O16" s="10"/>
      <c r="P16" s="11"/>
      <c r="R16" s="12"/>
      <c r="S16" s="13"/>
      <c r="T16" s="13"/>
      <c r="U16" s="14"/>
    </row>
    <row r="17" spans="2:21" x14ac:dyDescent="0.3">
      <c r="B17" s="9"/>
      <c r="C17" s="10"/>
      <c r="D17" s="11"/>
      <c r="F17" s="9" t="s">
        <v>8</v>
      </c>
      <c r="G17" s="10"/>
      <c r="H17" s="11"/>
      <c r="J17" s="9" t="s">
        <v>23</v>
      </c>
      <c r="K17" s="10"/>
      <c r="L17" s="16">
        <f ca="1">SUMIFS(Tabla_Gastos3678910111213141516[MONTO],Tabla_Gastos3678910111213141516[FECHA],"&gt;="&amp;$C$1,Tabla_Gastos3678910111213141516[FECHA],"&lt;="&amp;$D$1,Tabla_Gastos3678910111213141516[CATEGORIA],J17)</f>
        <v>0</v>
      </c>
      <c r="N17" s="9"/>
      <c r="O17" s="10"/>
      <c r="P17" s="11"/>
      <c r="R17" s="12"/>
      <c r="S17" s="13"/>
      <c r="T17" s="13"/>
      <c r="U17" s="14"/>
    </row>
    <row r="18" spans="2:21" x14ac:dyDescent="0.3">
      <c r="B18" s="9"/>
      <c r="C18" s="10"/>
      <c r="D18" s="11"/>
      <c r="F18" s="9" t="s">
        <v>9</v>
      </c>
      <c r="G18" s="10"/>
      <c r="H18" s="11"/>
      <c r="J18" s="9" t="s">
        <v>24</v>
      </c>
      <c r="K18" s="10"/>
      <c r="L18" s="16">
        <f ca="1">SUMIFS(Tabla_Gastos3678910111213141516[MONTO],Tabla_Gastos3678910111213141516[FECHA],"&gt;="&amp;$C$1,Tabla_Gastos3678910111213141516[FECHA],"&lt;="&amp;$D$1,Tabla_Gastos3678910111213141516[CATEGORIA],J18)</f>
        <v>0</v>
      </c>
      <c r="N18" s="9"/>
      <c r="O18" s="10"/>
      <c r="P18" s="11"/>
      <c r="R18" s="12"/>
      <c r="S18" s="13"/>
      <c r="T18" s="13"/>
      <c r="U18" s="14"/>
    </row>
    <row r="19" spans="2:21" x14ac:dyDescent="0.3">
      <c r="B19" s="9"/>
      <c r="C19" s="10"/>
      <c r="D19" s="11"/>
      <c r="F19" s="9" t="s">
        <v>10</v>
      </c>
      <c r="G19" s="10"/>
      <c r="H19" s="11"/>
      <c r="J19" s="9" t="s">
        <v>25</v>
      </c>
      <c r="K19" s="10"/>
      <c r="L19" s="16">
        <f ca="1">SUMIFS(Tabla_Gastos3678910111213141516[MONTO],Tabla_Gastos3678910111213141516[FECHA],"&gt;="&amp;$C$1,Tabla_Gastos3678910111213141516[FECHA],"&lt;="&amp;$D$1,Tabla_Gastos3678910111213141516[CATEGORIA],J19)</f>
        <v>0</v>
      </c>
      <c r="N19" s="9"/>
      <c r="O19" s="10"/>
      <c r="P19" s="11"/>
      <c r="R19" s="12"/>
      <c r="S19" s="13"/>
      <c r="T19" s="13"/>
      <c r="U19" s="14"/>
    </row>
    <row r="20" spans="2:21" x14ac:dyDescent="0.3">
      <c r="B20" s="9"/>
      <c r="C20" s="10"/>
      <c r="D20" s="11"/>
      <c r="F20" s="9" t="s">
        <v>12</v>
      </c>
      <c r="G20" s="10"/>
      <c r="H20" s="11"/>
      <c r="J20" s="9" t="s">
        <v>26</v>
      </c>
      <c r="K20" s="10"/>
      <c r="L20" s="16">
        <f ca="1">SUMIFS(Tabla_Gastos3678910111213141516[MONTO],Tabla_Gastos3678910111213141516[FECHA],"&gt;="&amp;$C$1,Tabla_Gastos3678910111213141516[FECHA],"&lt;="&amp;$D$1,Tabla_Gastos3678910111213141516[CATEGORIA],J20)</f>
        <v>0</v>
      </c>
      <c r="N20" s="9"/>
      <c r="O20" s="10"/>
      <c r="P20" s="11"/>
      <c r="R20" s="12"/>
      <c r="S20" s="13"/>
      <c r="T20" s="13"/>
      <c r="U20" s="14"/>
    </row>
    <row r="21" spans="2:21" x14ac:dyDescent="0.3">
      <c r="B21" s="9"/>
      <c r="C21" s="10"/>
      <c r="D21" s="11"/>
      <c r="F21" s="9" t="s">
        <v>11</v>
      </c>
      <c r="G21" s="10"/>
      <c r="H21" s="11"/>
      <c r="J21" s="9" t="s">
        <v>27</v>
      </c>
      <c r="K21" s="10"/>
      <c r="L21" s="16">
        <f ca="1">SUMIFS(Tabla_Gastos3678910111213141516[MONTO],Tabla_Gastos3678910111213141516[FECHA],"&gt;="&amp;$C$1,Tabla_Gastos3678910111213141516[FECHA],"&lt;="&amp;$D$1,Tabla_Gastos3678910111213141516[CATEGORIA],J21)</f>
        <v>0</v>
      </c>
      <c r="N21" s="9"/>
      <c r="O21" s="10"/>
      <c r="P21" s="11"/>
      <c r="R21" s="12"/>
      <c r="S21" s="13"/>
      <c r="T21" s="13"/>
      <c r="U21" s="14"/>
    </row>
    <row r="22" spans="2:21" x14ac:dyDescent="0.3">
      <c r="B22" s="9"/>
      <c r="C22" s="10"/>
      <c r="D22" s="11"/>
      <c r="F22" s="9" t="s">
        <v>13</v>
      </c>
      <c r="G22" s="10"/>
      <c r="H22" s="11"/>
      <c r="J22" s="9"/>
      <c r="K22" s="10"/>
      <c r="L22" s="16">
        <f ca="1">SUMIFS(Tabla_Gastos3678910111213141516[MONTO],Tabla_Gastos3678910111213141516[FECHA],"&gt;="&amp;$C$1,Tabla_Gastos3678910111213141516[FECHA],"&lt;="&amp;$D$1,Tabla_Gastos3678910111213141516[CATEGORIA],J22)</f>
        <v>0</v>
      </c>
      <c r="N22" s="9"/>
      <c r="O22" s="10"/>
      <c r="P22" s="11"/>
      <c r="R22" s="12"/>
      <c r="S22" s="13"/>
      <c r="T22" s="13"/>
      <c r="U22" s="14"/>
    </row>
    <row r="23" spans="2:21" x14ac:dyDescent="0.3">
      <c r="B23" s="9"/>
      <c r="C23" s="10"/>
      <c r="D23" s="11"/>
      <c r="F23" s="9" t="s">
        <v>14</v>
      </c>
      <c r="G23" s="10"/>
      <c r="H23" s="11"/>
      <c r="J23" s="9"/>
      <c r="K23" s="10"/>
      <c r="L23" s="16">
        <f ca="1">SUMIFS(Tabla_Gastos3678910111213141516[MONTO],Tabla_Gastos3678910111213141516[FECHA],"&gt;="&amp;$C$1,Tabla_Gastos3678910111213141516[FECHA],"&lt;="&amp;$D$1,Tabla_Gastos3678910111213141516[CATEGORIA],J23)</f>
        <v>0</v>
      </c>
      <c r="N23" s="9"/>
      <c r="O23" s="10"/>
      <c r="P23" s="11"/>
      <c r="R23" s="12"/>
      <c r="S23" s="13"/>
      <c r="T23" s="13"/>
      <c r="U23" s="14"/>
    </row>
    <row r="24" spans="2:21" x14ac:dyDescent="0.3">
      <c r="B24" s="9"/>
      <c r="C24" s="10"/>
      <c r="D24" s="11"/>
      <c r="F24" s="9" t="s">
        <v>15</v>
      </c>
      <c r="G24" s="10"/>
      <c r="H24" s="11"/>
      <c r="J24" s="9"/>
      <c r="K24" s="10"/>
      <c r="L24" s="16">
        <f ca="1">SUMIFS(Tabla_Gastos3678910111213141516[MONTO],Tabla_Gastos3678910111213141516[FECHA],"&gt;="&amp;$C$1,Tabla_Gastos3678910111213141516[FECHA],"&lt;="&amp;$D$1,Tabla_Gastos3678910111213141516[CATEGORIA],J24)</f>
        <v>0</v>
      </c>
      <c r="N24" s="9"/>
      <c r="O24" s="10"/>
      <c r="P24" s="11"/>
      <c r="R24" s="12"/>
      <c r="S24" s="13"/>
      <c r="T24" s="13"/>
      <c r="U24" s="14"/>
    </row>
    <row r="25" spans="2:21" x14ac:dyDescent="0.3">
      <c r="B25" s="9"/>
      <c r="C25" s="10"/>
      <c r="D25" s="11"/>
      <c r="F25" s="9"/>
      <c r="G25" s="10"/>
      <c r="H25" s="11"/>
      <c r="J25" s="9"/>
      <c r="K25" s="10"/>
      <c r="L25" s="16">
        <f ca="1">SUMIFS(Tabla_Gastos3678910111213141516[MONTO],Tabla_Gastos3678910111213141516[FECHA],"&gt;="&amp;$C$1,Tabla_Gastos3678910111213141516[FECHA],"&lt;="&amp;$D$1,Tabla_Gastos3678910111213141516[CATEGORIA],J25)</f>
        <v>0</v>
      </c>
      <c r="N25" s="9"/>
      <c r="O25" s="10"/>
      <c r="P25" s="11"/>
      <c r="R25" s="12"/>
      <c r="S25" s="13"/>
      <c r="T25" s="13"/>
      <c r="U25" s="14"/>
    </row>
    <row r="26" spans="2:21" ht="17.25" thickBot="1" x14ac:dyDescent="0.35">
      <c r="B26" s="3" t="s">
        <v>3</v>
      </c>
      <c r="C26" s="5">
        <f>SUM(C14:C25)</f>
        <v>0</v>
      </c>
      <c r="D26" s="5">
        <f>SUM(D14:D25)</f>
        <v>0</v>
      </c>
      <c r="F26" s="9"/>
      <c r="G26" s="10"/>
      <c r="H26" s="11"/>
      <c r="J26" s="9"/>
      <c r="K26" s="10"/>
      <c r="L26" s="16">
        <f ca="1">SUMIFS(Tabla_Gastos3678910111213141516[MONTO],Tabla_Gastos3678910111213141516[FECHA],"&gt;="&amp;$C$1,Tabla_Gastos3678910111213141516[FECHA],"&lt;="&amp;$D$1,Tabla_Gastos3678910111213141516[CATEGORIA],J26)</f>
        <v>0</v>
      </c>
      <c r="N26" s="6" t="s">
        <v>3</v>
      </c>
      <c r="O26" s="7">
        <f>SUM(O14:O25)</f>
        <v>0</v>
      </c>
      <c r="P26" s="7">
        <f>SUM(P14:P25)</f>
        <v>0</v>
      </c>
      <c r="R26" s="12"/>
      <c r="S26" s="13"/>
      <c r="T26" s="13"/>
      <c r="U26" s="14"/>
    </row>
    <row r="27" spans="2:21" x14ac:dyDescent="0.3">
      <c r="B27" s="31" t="s">
        <v>57</v>
      </c>
      <c r="C27" s="31"/>
      <c r="D27" s="8">
        <f>C26-D26</f>
        <v>0</v>
      </c>
      <c r="F27" s="9"/>
      <c r="G27" s="10"/>
      <c r="H27" s="11"/>
      <c r="J27" s="9"/>
      <c r="K27" s="10"/>
      <c r="L27" s="16"/>
      <c r="N27" s="31" t="s">
        <v>57</v>
      </c>
      <c r="O27" s="31"/>
      <c r="P27" s="8">
        <f>O26-P26</f>
        <v>0</v>
      </c>
      <c r="R27" s="12"/>
      <c r="S27" s="13"/>
      <c r="T27" s="13"/>
      <c r="U27" s="14"/>
    </row>
    <row r="28" spans="2:21" x14ac:dyDescent="0.3">
      <c r="F28" s="9"/>
      <c r="G28" s="10"/>
      <c r="H28" s="11"/>
      <c r="J28" s="9"/>
      <c r="K28" s="10"/>
      <c r="L28" s="16">
        <f ca="1">SUMIFS(Tabla_Gastos3678910111213141516[MONTO],Tabla_Gastos3678910111213141516[FECHA],"&gt;="&amp;$C$1,Tabla_Gastos3678910111213141516[FECHA],"&lt;="&amp;$D$1,Tabla_Gastos3678910111213141516[CATEGORIA],J28)</f>
        <v>0</v>
      </c>
      <c r="R28" s="12"/>
      <c r="S28" s="13"/>
      <c r="T28" s="13"/>
      <c r="U28" s="14"/>
    </row>
    <row r="29" spans="2:21" x14ac:dyDescent="0.3">
      <c r="B29" s="3" t="s">
        <v>93</v>
      </c>
      <c r="C29" s="3" t="s">
        <v>1</v>
      </c>
      <c r="D29" s="3" t="s">
        <v>2</v>
      </c>
      <c r="F29" s="9"/>
      <c r="G29" s="10"/>
      <c r="H29" s="11"/>
      <c r="J29" s="9"/>
      <c r="K29" s="10"/>
      <c r="L29" s="16">
        <f ca="1">SUMIFS(Tabla_Gastos3678910111213141516[MONTO],Tabla_Gastos3678910111213141516[FECHA],"&gt;="&amp;$C$1,Tabla_Gastos3678910111213141516[FECHA],"&lt;="&amp;$D$1,Tabla_Gastos3678910111213141516[CATEGORIA],J29)</f>
        <v>0</v>
      </c>
      <c r="N29" s="3" t="s">
        <v>29</v>
      </c>
      <c r="O29" s="3" t="s">
        <v>1</v>
      </c>
      <c r="P29" s="3" t="s">
        <v>2</v>
      </c>
      <c r="R29" s="12"/>
      <c r="S29" s="13"/>
      <c r="T29" s="13"/>
      <c r="U29" s="14"/>
    </row>
    <row r="30" spans="2:21" x14ac:dyDescent="0.3">
      <c r="B30" s="9" t="s">
        <v>35</v>
      </c>
      <c r="C30" s="10"/>
      <c r="D30" s="11"/>
      <c r="F30" s="9"/>
      <c r="G30" s="10"/>
      <c r="H30" s="11"/>
      <c r="J30" s="9"/>
      <c r="K30" s="10"/>
      <c r="L30" s="16">
        <f ca="1">SUMIFS(Tabla_Gastos3678910111213141516[MONTO],Tabla_Gastos3678910111213141516[FECHA],"&gt;="&amp;$C$1,Tabla_Gastos3678910111213141516[FECHA],"&lt;="&amp;$D$1,Tabla_Gastos3678910111213141516[CATEGORIA],J30)</f>
        <v>0</v>
      </c>
      <c r="N30" s="9" t="s">
        <v>33</v>
      </c>
      <c r="O30" s="10"/>
      <c r="P30" s="11"/>
      <c r="R30" s="12"/>
      <c r="S30" s="13"/>
      <c r="T30" s="13"/>
      <c r="U30" s="14"/>
    </row>
    <row r="31" spans="2:21" x14ac:dyDescent="0.3">
      <c r="B31" s="9" t="s">
        <v>36</v>
      </c>
      <c r="C31" s="10"/>
      <c r="D31" s="11"/>
      <c r="F31" s="9"/>
      <c r="G31" s="10"/>
      <c r="H31" s="11"/>
      <c r="J31" s="9"/>
      <c r="K31" s="10"/>
      <c r="L31" s="16">
        <f ca="1">SUMIFS(Tabla_Gastos3678910111213141516[MONTO],Tabla_Gastos3678910111213141516[FECHA],"&gt;="&amp;$C$1,Tabla_Gastos3678910111213141516[FECHA],"&lt;="&amp;$D$1,Tabla_Gastos3678910111213141516[CATEGORIA],J31)</f>
        <v>0</v>
      </c>
      <c r="N31" s="9" t="s">
        <v>34</v>
      </c>
      <c r="O31" s="10"/>
      <c r="P31" s="11"/>
      <c r="R31" s="12"/>
      <c r="S31" s="13"/>
      <c r="T31" s="13"/>
      <c r="U31" s="14"/>
    </row>
    <row r="32" spans="2:21" x14ac:dyDescent="0.3">
      <c r="B32" s="9" t="s">
        <v>37</v>
      </c>
      <c r="C32" s="10"/>
      <c r="D32" s="11"/>
      <c r="F32" s="9"/>
      <c r="G32" s="10"/>
      <c r="H32" s="11"/>
      <c r="J32" s="9"/>
      <c r="K32" s="10"/>
      <c r="L32" s="16">
        <f ca="1">SUMIFS(Tabla_Gastos3678910111213141516[MONTO],Tabla_Gastos3678910111213141516[FECHA],"&gt;="&amp;$C$1,Tabla_Gastos3678910111213141516[FECHA],"&lt;="&amp;$D$1,Tabla_Gastos3678910111213141516[CATEGORIA],J32)</f>
        <v>0</v>
      </c>
      <c r="N32" s="9"/>
      <c r="O32" s="10"/>
      <c r="P32" s="11"/>
      <c r="R32" s="12"/>
      <c r="S32" s="13"/>
      <c r="T32" s="13"/>
      <c r="U32" s="14"/>
    </row>
    <row r="33" spans="2:21" x14ac:dyDescent="0.3">
      <c r="B33" s="9" t="s">
        <v>38</v>
      </c>
      <c r="C33" s="10"/>
      <c r="D33" s="11"/>
      <c r="F33" s="9"/>
      <c r="G33" s="10"/>
      <c r="H33" s="11"/>
      <c r="J33" s="9"/>
      <c r="K33" s="10"/>
      <c r="L33" s="16">
        <f ca="1">SUMIFS(Tabla_Gastos3678910111213141516[MONTO],Tabla_Gastos3678910111213141516[FECHA],"&gt;="&amp;$C$1,Tabla_Gastos3678910111213141516[FECHA],"&lt;="&amp;$D$1,Tabla_Gastos3678910111213141516[CATEGORIA],J33)</f>
        <v>0</v>
      </c>
      <c r="N33" s="9"/>
      <c r="O33" s="10"/>
      <c r="P33" s="11"/>
      <c r="R33" s="12"/>
      <c r="S33" s="13"/>
      <c r="T33" s="13"/>
      <c r="U33" s="14"/>
    </row>
    <row r="34" spans="2:21" x14ac:dyDescent="0.3">
      <c r="B34" s="9"/>
      <c r="C34" s="10"/>
      <c r="D34" s="11"/>
      <c r="F34" s="9"/>
      <c r="G34" s="10"/>
      <c r="H34" s="11"/>
      <c r="J34" s="9"/>
      <c r="K34" s="10"/>
      <c r="L34" s="16">
        <f ca="1">SUMIFS(Tabla_Gastos3678910111213141516[MONTO],Tabla_Gastos3678910111213141516[FECHA],"&gt;="&amp;$C$1,Tabla_Gastos3678910111213141516[FECHA],"&lt;="&amp;$D$1,Tabla_Gastos3678910111213141516[CATEGORIA],J34)</f>
        <v>0</v>
      </c>
      <c r="N34" s="9"/>
      <c r="O34" s="10"/>
      <c r="P34" s="11"/>
      <c r="R34" s="12"/>
      <c r="S34" s="13"/>
      <c r="T34" s="13"/>
      <c r="U34" s="14"/>
    </row>
    <row r="35" spans="2:21" x14ac:dyDescent="0.3">
      <c r="B35" s="9"/>
      <c r="C35" s="10"/>
      <c r="D35" s="11"/>
      <c r="F35" s="9"/>
      <c r="G35" s="10"/>
      <c r="H35" s="11"/>
      <c r="J35" s="9"/>
      <c r="K35" s="10"/>
      <c r="L35" s="16">
        <f ca="1">SUMIFS(Tabla_Gastos3678910111213141516[MONTO],Tabla_Gastos3678910111213141516[FECHA],"&gt;="&amp;$C$1,Tabla_Gastos3678910111213141516[FECHA],"&lt;="&amp;$D$1,Tabla_Gastos3678910111213141516[CATEGORIA],J35)</f>
        <v>0</v>
      </c>
      <c r="N35" s="9"/>
      <c r="O35" s="10"/>
      <c r="P35" s="11"/>
      <c r="R35" s="12"/>
      <c r="S35" s="13"/>
      <c r="T35" s="13"/>
      <c r="U35" s="14"/>
    </row>
    <row r="36" spans="2:21" x14ac:dyDescent="0.3">
      <c r="B36" s="9"/>
      <c r="C36" s="10"/>
      <c r="D36" s="11"/>
      <c r="F36" s="9"/>
      <c r="G36" s="10"/>
      <c r="H36" s="11"/>
      <c r="J36" s="9"/>
      <c r="K36" s="10"/>
      <c r="L36" s="16">
        <f ca="1">SUMIFS(Tabla_Gastos3678910111213141516[MONTO],Tabla_Gastos3678910111213141516[FECHA],"&gt;="&amp;$C$1,Tabla_Gastos3678910111213141516[FECHA],"&lt;="&amp;$D$1,Tabla_Gastos3678910111213141516[CATEGORIA],J36)</f>
        <v>0</v>
      </c>
      <c r="N36" s="9"/>
      <c r="O36" s="10"/>
      <c r="P36" s="11"/>
      <c r="R36" s="12"/>
      <c r="S36" s="12"/>
      <c r="T36" s="13"/>
      <c r="U36" s="14"/>
    </row>
    <row r="37" spans="2:21" x14ac:dyDescent="0.3">
      <c r="B37" s="9"/>
      <c r="C37" s="10"/>
      <c r="D37" s="11"/>
      <c r="F37" s="9"/>
      <c r="G37" s="10"/>
      <c r="H37" s="11"/>
      <c r="J37" s="9"/>
      <c r="K37" s="10"/>
      <c r="L37" s="16">
        <f ca="1">SUMIFS(Tabla_Gastos3678910111213141516[MONTO],Tabla_Gastos3678910111213141516[FECHA],"&gt;="&amp;$C$1,Tabla_Gastos3678910111213141516[FECHA],"&lt;="&amp;$D$1,Tabla_Gastos3678910111213141516[CATEGORIA],J37)</f>
        <v>0</v>
      </c>
      <c r="N37" s="9"/>
      <c r="O37" s="10"/>
      <c r="P37" s="11"/>
      <c r="R37" s="12"/>
      <c r="S37" s="12"/>
      <c r="T37" s="13"/>
      <c r="U37" s="14"/>
    </row>
    <row r="38" spans="2:21" x14ac:dyDescent="0.3">
      <c r="B38" s="9"/>
      <c r="C38" s="10"/>
      <c r="D38" s="11"/>
      <c r="F38" s="9"/>
      <c r="G38" s="10"/>
      <c r="H38" s="11"/>
      <c r="J38" s="9"/>
      <c r="K38" s="10"/>
      <c r="L38" s="16">
        <f ca="1">SUMIFS(Tabla_Gastos3678910111213141516[MONTO],Tabla_Gastos3678910111213141516[FECHA],"&gt;="&amp;$C$1,Tabla_Gastos3678910111213141516[FECHA],"&lt;="&amp;$D$1,Tabla_Gastos3678910111213141516[CATEGORIA],J38)</f>
        <v>0</v>
      </c>
      <c r="N38" s="9"/>
      <c r="O38" s="10"/>
      <c r="P38" s="11"/>
      <c r="R38" s="12"/>
      <c r="S38" s="12"/>
      <c r="T38" s="13"/>
      <c r="U38" s="14"/>
    </row>
    <row r="39" spans="2:21" x14ac:dyDescent="0.3">
      <c r="B39" s="9"/>
      <c r="C39" s="10"/>
      <c r="D39" s="11"/>
      <c r="F39" s="9"/>
      <c r="G39" s="10"/>
      <c r="H39" s="11"/>
      <c r="J39" s="9"/>
      <c r="K39" s="10"/>
      <c r="L39" s="16">
        <f ca="1">SUMIFS(Tabla_Gastos3678910111213141516[MONTO],Tabla_Gastos3678910111213141516[FECHA],"&gt;="&amp;$C$1,Tabla_Gastos3678910111213141516[FECHA],"&lt;="&amp;$D$1,Tabla_Gastos3678910111213141516[CATEGORIA],J39)</f>
        <v>0</v>
      </c>
      <c r="N39" s="9"/>
      <c r="O39" s="10"/>
      <c r="P39" s="11"/>
      <c r="R39" s="12"/>
      <c r="S39" s="12"/>
      <c r="T39" s="13"/>
      <c r="U39" s="14"/>
    </row>
    <row r="40" spans="2:21" x14ac:dyDescent="0.3">
      <c r="B40" s="9"/>
      <c r="C40" s="10"/>
      <c r="D40" s="11"/>
      <c r="F40" s="9"/>
      <c r="G40" s="10"/>
      <c r="H40" s="11"/>
      <c r="J40" s="9"/>
      <c r="K40" s="10"/>
      <c r="L40" s="16">
        <f ca="1">SUMIFS(Tabla_Gastos3678910111213141516[MONTO],Tabla_Gastos3678910111213141516[FECHA],"&gt;="&amp;$C$1,Tabla_Gastos3678910111213141516[FECHA],"&lt;="&amp;$D$1,Tabla_Gastos3678910111213141516[CATEGORIA],J40)</f>
        <v>0</v>
      </c>
      <c r="N40" s="9"/>
      <c r="O40" s="10"/>
      <c r="P40" s="11"/>
      <c r="R40" s="12"/>
      <c r="S40" s="12"/>
      <c r="T40" s="13"/>
      <c r="U40" s="14"/>
    </row>
    <row r="41" spans="2:21" x14ac:dyDescent="0.3">
      <c r="B41" s="9"/>
      <c r="C41" s="10"/>
      <c r="D41" s="11"/>
      <c r="F41" s="9"/>
      <c r="G41" s="10"/>
      <c r="H41" s="11"/>
      <c r="J41" s="9"/>
      <c r="K41" s="10"/>
      <c r="L41" s="16">
        <f ca="1">SUMIFS(Tabla_Gastos3678910111213141516[MONTO],Tabla_Gastos3678910111213141516[FECHA],"&gt;="&amp;$C$1,Tabla_Gastos3678910111213141516[FECHA],"&lt;="&amp;$D$1,Tabla_Gastos3678910111213141516[CATEGORIA],J41)</f>
        <v>0</v>
      </c>
      <c r="N41" s="9"/>
      <c r="O41" s="10"/>
      <c r="P41" s="11"/>
      <c r="R41" s="12"/>
      <c r="S41" s="12"/>
      <c r="T41" s="13"/>
      <c r="U41" s="14"/>
    </row>
    <row r="42" spans="2:21" ht="17.25" thickBot="1" x14ac:dyDescent="0.35">
      <c r="B42" s="6" t="s">
        <v>3</v>
      </c>
      <c r="C42" s="7">
        <f>SUM(C30:C41)</f>
        <v>0</v>
      </c>
      <c r="D42" s="7">
        <f>SUM(D30:D41)</f>
        <v>0</v>
      </c>
      <c r="F42" s="6" t="s">
        <v>3</v>
      </c>
      <c r="G42" s="7">
        <f>SUM(G14:G41)</f>
        <v>0</v>
      </c>
      <c r="H42" s="7">
        <f>SUM(H14:H41)</f>
        <v>0</v>
      </c>
      <c r="J42" s="6" t="s">
        <v>3</v>
      </c>
      <c r="K42" s="7">
        <f>SUM(K14:K41)</f>
        <v>0</v>
      </c>
      <c r="L42" s="7">
        <f ca="1">SUM(L14:L41)</f>
        <v>0</v>
      </c>
      <c r="N42" s="6" t="s">
        <v>3</v>
      </c>
      <c r="O42" s="7">
        <f>SUM(O30:O41)</f>
        <v>0</v>
      </c>
      <c r="P42" s="7">
        <f>SUM(P30:P41)</f>
        <v>0</v>
      </c>
      <c r="R42" s="12"/>
      <c r="S42" s="12"/>
      <c r="T42" s="13"/>
      <c r="U42" s="14"/>
    </row>
    <row r="43" spans="2:21" x14ac:dyDescent="0.3">
      <c r="B43" s="31" t="s">
        <v>57</v>
      </c>
      <c r="C43" s="31"/>
      <c r="D43" s="8">
        <f>C42-D42</f>
        <v>0</v>
      </c>
      <c r="F43" s="31" t="s">
        <v>57</v>
      </c>
      <c r="G43" s="31"/>
      <c r="H43" s="8">
        <f>G42-H42</f>
        <v>0</v>
      </c>
      <c r="J43" s="31" t="s">
        <v>57</v>
      </c>
      <c r="K43" s="31"/>
      <c r="L43" s="8">
        <f ca="1">K42-L42</f>
        <v>0</v>
      </c>
      <c r="N43" s="31" t="s">
        <v>57</v>
      </c>
      <c r="O43" s="31"/>
      <c r="P43" s="8">
        <f>O42-P42</f>
        <v>0</v>
      </c>
      <c r="R43" s="12"/>
      <c r="S43" s="12"/>
      <c r="T43" s="13"/>
      <c r="U43" s="14"/>
    </row>
  </sheetData>
  <sheetProtection algorithmName="SHA-512" hashValue="93sRwwceu/sgW+5ME7vW/hFeOfD9nGMFGhO8J5n4GnaAf8T4xLAQhYVLJd1gItDRKa8M34jcpNEStzfzi+3yRA==" saltValue="BDkWbs1xtBjOGl2ckUu/Pg==" spinCount="100000" sheet="1" objects="1" scenarios="1" selectLockedCells="1"/>
  <mergeCells count="22">
    <mergeCell ref="N27:O27"/>
    <mergeCell ref="B43:C43"/>
    <mergeCell ref="F43:G43"/>
    <mergeCell ref="J43:K43"/>
    <mergeCell ref="N43:O43"/>
    <mergeCell ref="J10:J11"/>
    <mergeCell ref="K10:K11"/>
    <mergeCell ref="B11:C11"/>
    <mergeCell ref="F11:G11"/>
    <mergeCell ref="B27:C27"/>
    <mergeCell ref="R2:U3"/>
    <mergeCell ref="J6:J7"/>
    <mergeCell ref="K6:K7"/>
    <mergeCell ref="J8:J9"/>
    <mergeCell ref="K8:K9"/>
    <mergeCell ref="B4:D5"/>
    <mergeCell ref="J4:J5"/>
    <mergeCell ref="K4:K5"/>
    <mergeCell ref="F1:H2"/>
    <mergeCell ref="B2:D3"/>
    <mergeCell ref="J2:J3"/>
    <mergeCell ref="K2:K3"/>
  </mergeCells>
  <conditionalFormatting sqref="C7:D10">
    <cfRule type="cellIs" dxfId="9" priority="11" operator="lessThan">
      <formula>0</formula>
    </cfRule>
  </conditionalFormatting>
  <conditionalFormatting sqref="D11">
    <cfRule type="cellIs" dxfId="8" priority="2" operator="lessThan">
      <formula>0</formula>
    </cfRule>
  </conditionalFormatting>
  <conditionalFormatting sqref="D27">
    <cfRule type="cellIs" dxfId="7" priority="4" operator="lessThan">
      <formula>0</formula>
    </cfRule>
  </conditionalFormatting>
  <conditionalFormatting sqref="D43">
    <cfRule type="cellIs" dxfId="6" priority="8" operator="lessThan">
      <formula>0</formula>
    </cfRule>
  </conditionalFormatting>
  <conditionalFormatting sqref="G4:H10">
    <cfRule type="cellIs" dxfId="5" priority="9" operator="lessThan">
      <formula>0</formula>
    </cfRule>
  </conditionalFormatting>
  <conditionalFormatting sqref="H11">
    <cfRule type="cellIs" dxfId="4" priority="1" operator="lessThan">
      <formula>0</formula>
    </cfRule>
  </conditionalFormatting>
  <conditionalFormatting sqref="H43">
    <cfRule type="cellIs" dxfId="3" priority="7" operator="lessThan">
      <formula>0</formula>
    </cfRule>
  </conditionalFormatting>
  <conditionalFormatting sqref="L43">
    <cfRule type="cellIs" dxfId="2" priority="6" operator="lessThan">
      <formula>0</formula>
    </cfRule>
  </conditionalFormatting>
  <conditionalFormatting sqref="P27">
    <cfRule type="cellIs" dxfId="1" priority="3" operator="lessThan">
      <formula>0</formula>
    </cfRule>
  </conditionalFormatting>
  <conditionalFormatting sqref="P43">
    <cfRule type="cellIs" dxfId="0" priority="5" operator="lessThan">
      <formula>0</formula>
    </cfRule>
  </conditionalFormatting>
  <dataValidations count="1">
    <dataValidation type="list" allowBlank="1" showInputMessage="1" showErrorMessage="1" sqref="S6:S43" xr:uid="{54C4F539-99FE-40DA-BFBD-92B05C9AFCF2}">
      <formula1>Lista_Gastos</formula1>
    </dataValidation>
  </dataValidation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60" orientation="landscape" r:id="rId1"/>
  <colBreaks count="1" manualBreakCount="1">
    <brk id="16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Anual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Setiembre!Área_de_impresión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Stiven Cuesta</cp:lastModifiedBy>
  <cp:lastPrinted>2023-02-09T15:31:11Z</cp:lastPrinted>
  <dcterms:created xsi:type="dcterms:W3CDTF">2023-02-08T18:23:44Z</dcterms:created>
  <dcterms:modified xsi:type="dcterms:W3CDTF">2026-05-02T22:21:46Z</dcterms:modified>
</cp:coreProperties>
</file>